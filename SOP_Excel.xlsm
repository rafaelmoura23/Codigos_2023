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uno DEV Tarde\Desktop\"/>
    </mc:Choice>
  </mc:AlternateContent>
  <xr:revisionPtr revIDLastSave="0" documentId="13_ncr:1_{730EDE1A-AB3A-45D7-8C5F-58AA13EE1169}" xr6:coauthVersionLast="36" xr6:coauthVersionMax="36" xr10:uidLastSave="{00000000-0000-0000-0000-000000000000}"/>
  <bookViews>
    <workbookView xWindow="0" yWindow="0" windowWidth="28800" windowHeight="12225" xr2:uid="{408A83E3-3840-4FDC-A6A6-91F037592718}"/>
  </bookViews>
  <sheets>
    <sheet name="Aula1-Introdução" sheetId="1" r:id="rId1"/>
    <sheet name="Planilha1" sheetId="2" r:id="rId2"/>
  </sheets>
  <definedNames>
    <definedName name="_xlnm._FilterDatabase" localSheetId="0" hidden="1">'Aula1-Introdução'!$K$29:$T$33</definedName>
    <definedName name="INÍCIO">'Aula1-Introdução'!$A$1:$C$3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4" i="1" l="1"/>
  <c r="O43" i="1"/>
  <c r="O42" i="1"/>
  <c r="O33" i="1"/>
  <c r="P33" i="1" s="1"/>
  <c r="R33" i="1" s="1"/>
  <c r="T33" i="1"/>
  <c r="S33" i="1"/>
  <c r="T32" i="1"/>
  <c r="S32" i="1"/>
  <c r="O32" i="1"/>
  <c r="P32" i="1" s="1"/>
  <c r="R32" i="1" s="1"/>
  <c r="O31" i="1"/>
  <c r="P31" i="1"/>
  <c r="R31" i="1" s="1"/>
  <c r="S31" i="1"/>
  <c r="T31" i="1"/>
  <c r="S30" i="1"/>
  <c r="O30" i="1"/>
  <c r="P30" i="1" s="1"/>
  <c r="P25" i="1"/>
  <c r="P24" i="1"/>
  <c r="P23" i="1"/>
  <c r="P22" i="1"/>
  <c r="P21" i="1"/>
  <c r="P20" i="1"/>
  <c r="P19" i="1"/>
  <c r="P18" i="1"/>
  <c r="P17" i="1"/>
  <c r="P11" i="1"/>
  <c r="P12" i="1"/>
  <c r="P13" i="1"/>
  <c r="P14" i="1"/>
  <c r="R30" i="1" l="1"/>
  <c r="T30" i="1"/>
</calcChain>
</file>

<file path=xl/sharedStrings.xml><?xml version="1.0" encoding="utf-8"?>
<sst xmlns="http://schemas.openxmlformats.org/spreadsheetml/2006/main" count="63" uniqueCount="61">
  <si>
    <t>Soma</t>
  </si>
  <si>
    <t>+</t>
  </si>
  <si>
    <t xml:space="preserve"> =A1+A2+A3</t>
  </si>
  <si>
    <t>Subtração</t>
  </si>
  <si>
    <t>Multiplicação</t>
  </si>
  <si>
    <t>Divisão</t>
  </si>
  <si>
    <t>-</t>
  </si>
  <si>
    <t>*</t>
  </si>
  <si>
    <t>/</t>
  </si>
  <si>
    <t xml:space="preserve"> =A1-A2-A3</t>
  </si>
  <si>
    <t xml:space="preserve"> =A1*A2*A3</t>
  </si>
  <si>
    <t xml:space="preserve"> =A1/A2</t>
  </si>
  <si>
    <t xml:space="preserve">                                     Fórmulas Básicas                                 </t>
  </si>
  <si>
    <t>SOMA()</t>
  </si>
  <si>
    <t xml:space="preserve"> =SOMA(A1:A10)</t>
  </si>
  <si>
    <t xml:space="preserve">Operações Básicas                     </t>
  </si>
  <si>
    <t>MÉDIA()</t>
  </si>
  <si>
    <t xml:space="preserve"> =SOMA(A1;A10)</t>
  </si>
  <si>
    <t xml:space="preserve"> =SOMA(A1:A5;A8:A10)</t>
  </si>
  <si>
    <t xml:space="preserve"> =MÉDIA(A1:A10)</t>
  </si>
  <si>
    <t>MÁXIMO()</t>
  </si>
  <si>
    <t>MÍNIMO()</t>
  </si>
  <si>
    <t>MED()</t>
  </si>
  <si>
    <t xml:space="preserve"> =MED(A1:A10)</t>
  </si>
  <si>
    <t xml:space="preserve"> =MÁXIMO(A1:A10)</t>
  </si>
  <si>
    <t xml:space="preserve"> =MÍNIMO(A1:A10)</t>
  </si>
  <si>
    <t>MAIOR()</t>
  </si>
  <si>
    <t>MENOR()</t>
  </si>
  <si>
    <t xml:space="preserve"> =MAIOR(A1:A10;2)</t>
  </si>
  <si>
    <t xml:space="preserve"> =MENOR(A1:A10;2)</t>
  </si>
  <si>
    <t>Fórmula SE</t>
  </si>
  <si>
    <t>Aluno</t>
  </si>
  <si>
    <t>Nota P1</t>
  </si>
  <si>
    <t>Nota P2</t>
  </si>
  <si>
    <t>Nota Tr1</t>
  </si>
  <si>
    <t>Média Nota</t>
  </si>
  <si>
    <t>Média Final</t>
  </si>
  <si>
    <t>Frequência</t>
  </si>
  <si>
    <t>Alberto</t>
  </si>
  <si>
    <t>Situação Nota</t>
  </si>
  <si>
    <t>Situação Frequência</t>
  </si>
  <si>
    <t>Situação Final</t>
  </si>
  <si>
    <t>Bruno</t>
  </si>
  <si>
    <t>Caio</t>
  </si>
  <si>
    <t>José</t>
  </si>
  <si>
    <t>Fórmula PROCV</t>
  </si>
  <si>
    <t>Funcionário</t>
  </si>
  <si>
    <t>Idade</t>
  </si>
  <si>
    <t>Cargo</t>
  </si>
  <si>
    <t>Alfredo</t>
  </si>
  <si>
    <t>Patricia</t>
  </si>
  <si>
    <t>Sueli</t>
  </si>
  <si>
    <t>Marcio</t>
  </si>
  <si>
    <t>Motorista</t>
  </si>
  <si>
    <t>Professor</t>
  </si>
  <si>
    <t>Médica</t>
  </si>
  <si>
    <t>Escritora</t>
  </si>
  <si>
    <t>Pintor</t>
  </si>
  <si>
    <t>Fórmula</t>
  </si>
  <si>
    <t>PROCV(valorP;matriz;coluna)</t>
  </si>
  <si>
    <t xml:space="preserve"> =PROCV("MARCIO";J40:L45;3)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</si>
</sst>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0" fontId="1" fillId="0" borderId="0" xfId="0" applyFo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left" indent="13"/>
    </xf>
    <xf numFmtId="0" fontId="0" fillId="2" borderId="3" xfId="0" applyFill="1" applyBorder="1" applyAlignment="1">
      <alignment horizontal="center"/>
    </xf>
    <xf numFmtId="0" fontId="0" fillId="2" borderId="3" xfId="0" quotePrefix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9527</xdr:colOff>
      <xdr:row>22</xdr:row>
      <xdr:rowOff>152400</xdr:rowOff>
    </xdr:from>
    <xdr:to>
      <xdr:col>19</xdr:col>
      <xdr:colOff>1638301</xdr:colOff>
      <xdr:row>24</xdr:row>
      <xdr:rowOff>190500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FC2BC53-1DF8-4567-AB51-A8E32826BD39}"/>
            </a:ext>
          </a:extLst>
        </xdr:cNvPr>
        <xdr:cNvSpPr txBox="1"/>
      </xdr:nvSpPr>
      <xdr:spPr>
        <a:xfrm>
          <a:off x="10991852" y="4467225"/>
          <a:ext cx="4505324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Segundo</a:t>
          </a:r>
          <a:r>
            <a:rPr lang="pt-BR" sz="1100" b="1" baseline="0"/>
            <a:t> </a:t>
          </a:r>
          <a:r>
            <a:rPr lang="pt-BR" sz="1100" b="1" u="sng" baseline="0"/>
            <a:t>Maior</a:t>
          </a:r>
          <a:r>
            <a:rPr lang="pt-BR" sz="1100" b="1" baseline="0"/>
            <a:t> entre A1 e A10  (2=&gt;Argumento)</a:t>
          </a:r>
        </a:p>
        <a:p>
          <a:r>
            <a:rPr lang="pt-BR" sz="1100" b="1" baseline="0"/>
            <a:t>Segundo </a:t>
          </a:r>
          <a:r>
            <a:rPr lang="pt-BR" sz="1100" b="1" u="sng" baseline="0"/>
            <a:t>Menor</a:t>
          </a:r>
          <a:r>
            <a:rPr lang="pt-BR" sz="1100" b="1" baseline="0"/>
            <a:t> entre A1 e A10 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(2=&gt;Argumento)</a:t>
          </a:r>
          <a:endParaRPr lang="pt-BR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675DA2-113B-4824-9550-A281BFF23895}" name="Tabela6" displayName="Tabela6" ref="M10:P14" headerRowCount="0" totalsRowShown="0" headerRowDxfId="38" dataDxfId="37" headerRowBorderDxfId="35" tableBorderDxfId="36">
  <tableColumns count="4">
    <tableColumn id="1" xr3:uid="{87E6CE8E-47D5-4AB9-AD2B-52075ADF3CAA}" name="Coluna1" headerRowDxfId="39" dataDxfId="34"/>
    <tableColumn id="2" xr3:uid="{CEB15CAF-29D2-435E-9981-371ED15853CD}" name="Coluna2" headerRowDxfId="40" dataDxfId="33"/>
    <tableColumn id="3" xr3:uid="{5A0D6544-2206-4B40-80FC-06412EF6D419}" name="Coluna3" headerRowDxfId="41" dataDxfId="32"/>
    <tableColumn id="4" xr3:uid="{30E6CC36-2CCB-43AB-B870-2294AE858005}" name="Coluna4" headerRowDxfId="42" dataDxfId="31"/>
  </tableColumns>
  <tableStyleInfo name="TableStyleMedium15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523E4-B598-48BD-94F4-1E319005B17B}" name="Tabela9" displayName="Tabela9" ref="K29:T33" headerRowCount="0" totalsRowShown="0" headerRowDxfId="16" dataDxfId="17" headerRowBorderDxfId="29" tableBorderDxfId="30" totalsRowBorderDxfId="28">
  <tableColumns count="10">
    <tableColumn id="1" xr3:uid="{80B53F68-85CA-474C-A990-8EF56C37B17C}" name="Fórmula SE" headerRowDxfId="6" dataDxfId="27"/>
    <tableColumn id="2" xr3:uid="{8E206F25-29A6-4C57-9122-AE32EF67D55B}" name="Coluna1" headerRowDxfId="7" dataDxfId="26"/>
    <tableColumn id="3" xr3:uid="{1A6A3EF0-7D23-4237-8B8A-1947B6045A08}" name="Coluna2" headerRowDxfId="8" dataDxfId="25"/>
    <tableColumn id="4" xr3:uid="{4352165F-8482-4F8F-AFEE-05CE5FE67763}" name="Coluna3" headerRowDxfId="9" dataDxfId="24"/>
    <tableColumn id="5" xr3:uid="{39C16CBF-0389-49A1-8B56-E33A5007FC9F}" name="Coluna4" headerRowDxfId="10" dataDxfId="23">
      <calculatedColumnFormula>AVERAGE(L29:M29)</calculatedColumnFormula>
    </tableColumn>
    <tableColumn id="6" xr3:uid="{95CDA830-8A0D-4969-A4FA-A2FAEB83FF7D}" name="Coluna5" headerRowDxfId="11" dataDxfId="22">
      <calculatedColumnFormula>AVERAGE(N29:O29)</calculatedColumnFormula>
    </tableColumn>
    <tableColumn id="7" xr3:uid="{02449CBA-BBC7-4787-BCA7-28CDAC4F38A7}" name="Coluna6" headerRowDxfId="12" dataDxfId="21"/>
    <tableColumn id="8" xr3:uid="{D7C386D9-A030-499A-A378-DE1306189C2C}" name="Coluna7" headerRowDxfId="13" dataDxfId="20">
      <calculatedColumnFormula>IF(P29&gt;=7,"Aprovado","Reprovado")</calculatedColumnFormula>
    </tableColumn>
    <tableColumn id="9" xr3:uid="{D30909BB-4414-4256-B054-7AC218713A38}" name="Coluna8" headerRowDxfId="14" dataDxfId="19">
      <calculatedColumnFormula>IF(Q29&gt;=75%,"Aprovado","Reprovado")</calculatedColumnFormula>
    </tableColumn>
    <tableColumn id="10" xr3:uid="{EF254CF5-6E1A-4DE6-A60C-9151BA94A41A}" name="Coluna9" headerRowDxfId="15" dataDxfId="18">
      <calculatedColumnFormula>IF(Q29&gt;=75%,IF(P29&gt;=7,"Aprovado","Reprovado por Nota"),"Reprovado por Frequência")</calculatedColumnFormula>
    </tableColumn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9398E-4B11-4754-971B-C16FECC7C947}">
  <sheetPr>
    <tabColor theme="4" tint="-0.249977111117893"/>
  </sheetPr>
  <dimension ref="A1:T46"/>
  <sheetViews>
    <sheetView tabSelected="1" topLeftCell="A19" zoomScaleNormal="100" workbookViewId="0">
      <selection activeCell="H26" sqref="H26"/>
    </sheetView>
  </sheetViews>
  <sheetFormatPr defaultRowHeight="15" x14ac:dyDescent="0.25"/>
  <cols>
    <col min="4" max="4" width="17.42578125" bestFit="1" customWidth="1"/>
    <col min="5" max="5" width="11.28515625" bestFit="1" customWidth="1"/>
    <col min="10" max="10" width="11.42578125" bestFit="1" customWidth="1"/>
    <col min="11" max="11" width="15" bestFit="1" customWidth="1"/>
    <col min="12" max="12" width="10.28515625" customWidth="1"/>
    <col min="13" max="13" width="12.85546875" bestFit="1" customWidth="1"/>
    <col min="14" max="14" width="10.28515625" customWidth="1"/>
    <col min="15" max="15" width="28.85546875" bestFit="1" customWidth="1"/>
    <col min="16" max="16" width="12" bestFit="1" customWidth="1"/>
    <col min="17" max="17" width="10.85546875" bestFit="1" customWidth="1"/>
    <col min="18" max="18" width="13.28515625" bestFit="1" customWidth="1"/>
    <col min="19" max="19" width="19" bestFit="1" customWidth="1"/>
    <col min="20" max="20" width="24.7109375" bestFit="1" customWidth="1"/>
  </cols>
  <sheetData>
    <row r="1" spans="1:20" x14ac:dyDescent="0.25">
      <c r="A1" s="1">
        <v>1</v>
      </c>
    </row>
    <row r="2" spans="1:20" x14ac:dyDescent="0.25">
      <c r="A2" s="1">
        <v>2</v>
      </c>
      <c r="C2" s="3"/>
      <c r="D2" s="3"/>
      <c r="E2" s="3"/>
      <c r="F2" s="3"/>
    </row>
    <row r="3" spans="1:20" x14ac:dyDescent="0.25">
      <c r="A3" s="1">
        <v>3</v>
      </c>
    </row>
    <row r="4" spans="1:20" x14ac:dyDescent="0.25">
      <c r="A4" s="1">
        <v>4</v>
      </c>
    </row>
    <row r="5" spans="1:20" x14ac:dyDescent="0.25">
      <c r="A5" s="1">
        <v>5</v>
      </c>
      <c r="C5" s="2"/>
      <c r="D5" s="1"/>
    </row>
    <row r="6" spans="1:20" x14ac:dyDescent="0.25">
      <c r="A6" s="1">
        <v>6</v>
      </c>
      <c r="D6" s="1"/>
    </row>
    <row r="7" spans="1:20" x14ac:dyDescent="0.25">
      <c r="A7" s="1">
        <v>7</v>
      </c>
      <c r="D7" s="1"/>
    </row>
    <row r="8" spans="1:20" x14ac:dyDescent="0.25">
      <c r="A8" s="1">
        <v>8</v>
      </c>
      <c r="D8" s="1"/>
    </row>
    <row r="9" spans="1:20" ht="15.75" thickBot="1" x14ac:dyDescent="0.3">
      <c r="A9" s="1">
        <v>9</v>
      </c>
      <c r="D9" s="1"/>
    </row>
    <row r="10" spans="1:20" ht="15.75" thickBot="1" x14ac:dyDescent="0.3">
      <c r="A10" s="1">
        <v>10</v>
      </c>
      <c r="D10" s="1"/>
      <c r="M10" s="17" t="s">
        <v>15</v>
      </c>
      <c r="N10" s="17"/>
      <c r="O10" s="17"/>
      <c r="P10" s="17"/>
    </row>
    <row r="11" spans="1:20" ht="15.75" thickBot="1" x14ac:dyDescent="0.3">
      <c r="A11" s="1"/>
      <c r="D11" s="1"/>
      <c r="M11" s="18" t="s">
        <v>0</v>
      </c>
      <c r="N11" s="5" t="s">
        <v>1</v>
      </c>
      <c r="O11" s="19" t="s">
        <v>2</v>
      </c>
      <c r="P11" s="14">
        <f>A1+A2+A3</f>
        <v>6</v>
      </c>
    </row>
    <row r="12" spans="1:20" ht="15.75" thickBot="1" x14ac:dyDescent="0.3">
      <c r="D12" s="1"/>
      <c r="M12" s="5" t="s">
        <v>3</v>
      </c>
      <c r="N12" s="5" t="s">
        <v>6</v>
      </c>
      <c r="O12" s="5" t="s">
        <v>9</v>
      </c>
      <c r="P12" s="14">
        <f>A1-A2-A3</f>
        <v>-4</v>
      </c>
    </row>
    <row r="13" spans="1:20" ht="15.75" thickBot="1" x14ac:dyDescent="0.3">
      <c r="D13" s="1"/>
      <c r="M13" s="18" t="s">
        <v>4</v>
      </c>
      <c r="N13" s="5" t="s">
        <v>7</v>
      </c>
      <c r="O13" s="18" t="s">
        <v>10</v>
      </c>
      <c r="P13" s="14">
        <f>A1*A2*A3</f>
        <v>6</v>
      </c>
    </row>
    <row r="14" spans="1:20" x14ac:dyDescent="0.25">
      <c r="D14" s="1"/>
      <c r="M14" s="15" t="s">
        <v>5</v>
      </c>
      <c r="N14" s="15" t="s">
        <v>8</v>
      </c>
      <c r="O14" s="15" t="s">
        <v>11</v>
      </c>
      <c r="P14" s="16">
        <f>A1/A2</f>
        <v>0.5</v>
      </c>
    </row>
    <row r="15" spans="1:20" ht="15.75" thickBot="1" x14ac:dyDescent="0.3">
      <c r="D15" s="1"/>
    </row>
    <row r="16" spans="1:20" ht="15.75" thickBot="1" x14ac:dyDescent="0.3">
      <c r="D16" s="1"/>
      <c r="M16" s="10" t="s">
        <v>12</v>
      </c>
      <c r="N16" s="11"/>
      <c r="O16" s="11"/>
      <c r="P16" s="12"/>
      <c r="T16" s="4"/>
    </row>
    <row r="17" spans="4:20" ht="15.75" thickBot="1" x14ac:dyDescent="0.3">
      <c r="D17" s="1"/>
      <c r="M17" s="20" t="s">
        <v>13</v>
      </c>
      <c r="N17" s="10" t="s">
        <v>14</v>
      </c>
      <c r="O17" s="12"/>
      <c r="P17" s="5">
        <f>SUM(A1:A10)</f>
        <v>55</v>
      </c>
    </row>
    <row r="18" spans="4:20" ht="15.75" thickBot="1" x14ac:dyDescent="0.3">
      <c r="D18" s="1"/>
      <c r="M18" s="7"/>
      <c r="N18" s="10" t="s">
        <v>17</v>
      </c>
      <c r="O18" s="12"/>
      <c r="P18" s="5">
        <f>SUM(A1,A10)</f>
        <v>11</v>
      </c>
    </row>
    <row r="19" spans="4:20" ht="15.75" thickBot="1" x14ac:dyDescent="0.3">
      <c r="D19" s="1"/>
      <c r="M19" s="7"/>
      <c r="N19" s="10" t="s">
        <v>18</v>
      </c>
      <c r="O19" s="12"/>
      <c r="P19" s="8">
        <f>SUM(A1:A5,A8:A10)</f>
        <v>42</v>
      </c>
    </row>
    <row r="20" spans="4:20" ht="15.75" thickBot="1" x14ac:dyDescent="0.3">
      <c r="D20" s="1"/>
      <c r="M20" s="9" t="s">
        <v>16</v>
      </c>
      <c r="N20" s="10" t="s">
        <v>19</v>
      </c>
      <c r="O20" s="12"/>
      <c r="P20" s="6">
        <f>AVERAGE(A1:A10)</f>
        <v>5.5</v>
      </c>
    </row>
    <row r="21" spans="4:20" ht="15.75" thickBot="1" x14ac:dyDescent="0.3">
      <c r="D21" s="1"/>
      <c r="M21" s="25" t="s">
        <v>22</v>
      </c>
      <c r="N21" s="23" t="s">
        <v>23</v>
      </c>
      <c r="O21" s="24"/>
      <c r="P21" s="8">
        <f>MEDIAN(A1:A10)</f>
        <v>5.5</v>
      </c>
    </row>
    <row r="22" spans="4:20" ht="15.75" thickBot="1" x14ac:dyDescent="0.3">
      <c r="D22" s="1"/>
      <c r="M22" s="20" t="s">
        <v>20</v>
      </c>
      <c r="N22" s="23" t="s">
        <v>24</v>
      </c>
      <c r="O22" s="24"/>
      <c r="P22" s="9">
        <f>MAX(A1:A10)</f>
        <v>10</v>
      </c>
    </row>
    <row r="23" spans="4:20" ht="15.75" thickBot="1" x14ac:dyDescent="0.3">
      <c r="D23" s="1"/>
      <c r="M23" s="20" t="s">
        <v>21</v>
      </c>
      <c r="N23" s="23" t="s">
        <v>25</v>
      </c>
      <c r="O23" s="24"/>
      <c r="P23" s="6">
        <f>MIN(A1:A10)</f>
        <v>1</v>
      </c>
    </row>
    <row r="24" spans="4:20" ht="15.75" thickBot="1" x14ac:dyDescent="0.3">
      <c r="D24" s="1"/>
      <c r="M24" s="25" t="s">
        <v>26</v>
      </c>
      <c r="N24" s="10" t="s">
        <v>28</v>
      </c>
      <c r="O24" s="12"/>
      <c r="P24" s="27">
        <f>LARGE(A1:A10,2)</f>
        <v>9</v>
      </c>
    </row>
    <row r="25" spans="4:20" ht="15.75" thickBot="1" x14ac:dyDescent="0.3">
      <c r="D25" s="1"/>
      <c r="M25" s="20" t="s">
        <v>27</v>
      </c>
      <c r="N25" s="10" t="s">
        <v>29</v>
      </c>
      <c r="O25" s="12"/>
      <c r="P25" s="8">
        <f>SMALL(A1:A10,2)</f>
        <v>2</v>
      </c>
    </row>
    <row r="27" spans="4:20" ht="15.75" thickBot="1" x14ac:dyDescent="0.3"/>
    <row r="28" spans="4:20" ht="15.75" thickBot="1" x14ac:dyDescent="0.3">
      <c r="K28" s="30" t="s">
        <v>30</v>
      </c>
      <c r="L28" s="30"/>
      <c r="M28" s="30"/>
      <c r="N28" s="30"/>
      <c r="O28" s="30"/>
      <c r="P28" s="30"/>
      <c r="Q28" s="30"/>
      <c r="R28" s="30"/>
      <c r="S28" s="30"/>
      <c r="T28" s="30"/>
    </row>
    <row r="29" spans="4:20" ht="15.75" thickBot="1" x14ac:dyDescent="0.3">
      <c r="K29" s="5" t="s">
        <v>31</v>
      </c>
      <c r="L29" s="8" t="s">
        <v>32</v>
      </c>
      <c r="M29" s="8" t="s">
        <v>33</v>
      </c>
      <c r="N29" s="8" t="s">
        <v>34</v>
      </c>
      <c r="O29" s="8" t="s">
        <v>35</v>
      </c>
      <c r="P29" s="8" t="s">
        <v>36</v>
      </c>
      <c r="Q29" s="8" t="s">
        <v>37</v>
      </c>
      <c r="R29" s="8" t="s">
        <v>39</v>
      </c>
      <c r="S29" s="8" t="s">
        <v>40</v>
      </c>
      <c r="T29" s="13" t="s">
        <v>41</v>
      </c>
    </row>
    <row r="30" spans="4:20" ht="15.75" thickBot="1" x14ac:dyDescent="0.3">
      <c r="K30" s="5" t="s">
        <v>38</v>
      </c>
      <c r="L30" s="8">
        <v>6.5</v>
      </c>
      <c r="M30" s="8">
        <v>9.3000000000000007</v>
      </c>
      <c r="N30" s="8">
        <v>8.5</v>
      </c>
      <c r="O30" s="8">
        <f>AVERAGE(L30:M30)</f>
        <v>7.9</v>
      </c>
      <c r="P30" s="8">
        <f>AVERAGE(N30:O30)</f>
        <v>8.1999999999999993</v>
      </c>
      <c r="Q30" s="28">
        <v>0.82</v>
      </c>
      <c r="R30" s="8" t="str">
        <f>IF(P30&gt;=7,"Aprovado","Reprovado")</f>
        <v>Aprovado</v>
      </c>
      <c r="S30" s="8" t="str">
        <f>IF(Q30&gt;=75%,"Aprovado","Reprovado")</f>
        <v>Aprovado</v>
      </c>
      <c r="T30" s="13" t="str">
        <f>IF(Q30&gt;=75%,IF(P30&gt;=7,"Aprovado","Reprovado por Nota"),"Reprovado por Frequência")</f>
        <v>Aprovado</v>
      </c>
    </row>
    <row r="31" spans="4:20" ht="15.75" thickBot="1" x14ac:dyDescent="0.3">
      <c r="K31" s="5" t="s">
        <v>42</v>
      </c>
      <c r="L31" s="8">
        <v>5</v>
      </c>
      <c r="M31" s="8">
        <v>5</v>
      </c>
      <c r="N31" s="8">
        <v>5</v>
      </c>
      <c r="O31" s="8">
        <f>AVERAGE(L31:M31)</f>
        <v>5</v>
      </c>
      <c r="P31" s="8">
        <f>AVERAGE(N31:O31)</f>
        <v>5</v>
      </c>
      <c r="Q31" s="28">
        <v>0.9</v>
      </c>
      <c r="R31" s="8" t="str">
        <f>IF(P31&gt;=7,"Aprovado","Reprovado")</f>
        <v>Reprovado</v>
      </c>
      <c r="S31" s="8" t="str">
        <f>IF(Q31&gt;=75%,"Aprovado","Reprovado")</f>
        <v>Aprovado</v>
      </c>
      <c r="T31" s="13" t="str">
        <f>IF(Q31&gt;=75%,IF(P31&gt;=7,"Aprovado","Reprovado por Nota"),"Reprovado por Frequência")</f>
        <v>Reprovado por Nota</v>
      </c>
    </row>
    <row r="32" spans="4:20" ht="15.75" thickBot="1" x14ac:dyDescent="0.3">
      <c r="K32" s="5" t="s">
        <v>43</v>
      </c>
      <c r="L32" s="8">
        <v>10</v>
      </c>
      <c r="M32" s="8">
        <v>10</v>
      </c>
      <c r="N32" s="8">
        <v>10</v>
      </c>
      <c r="O32" s="8">
        <f>AVERAGE(L32:M32)</f>
        <v>10</v>
      </c>
      <c r="P32" s="8">
        <f>AVERAGE(N32:O32)</f>
        <v>10</v>
      </c>
      <c r="Q32" s="28">
        <v>0.6</v>
      </c>
      <c r="R32" s="8" t="str">
        <f>IF(P32&gt;=7,"Aprovado","Reprovado")</f>
        <v>Aprovado</v>
      </c>
      <c r="S32" s="8" t="str">
        <f>IF(Q32&gt;=75%,"Aprovado","Reprovado")</f>
        <v>Reprovado</v>
      </c>
      <c r="T32" s="13" t="str">
        <f>IF(Q32&gt;=75%,IF(P32&gt;=7,"Aprovado","Reprovado por Nota"),"Reprovado por Frequência")</f>
        <v>Reprovado por Frequência</v>
      </c>
    </row>
    <row r="33" spans="10:20" x14ac:dyDescent="0.25">
      <c r="K33" s="21" t="s">
        <v>44</v>
      </c>
      <c r="L33" s="27">
        <v>0</v>
      </c>
      <c r="M33" s="27">
        <v>0</v>
      </c>
      <c r="N33" s="27">
        <v>0</v>
      </c>
      <c r="O33" s="27">
        <f>AVERAGE(L33:M33)</f>
        <v>0</v>
      </c>
      <c r="P33" s="27">
        <f>AVERAGE(N33:O33)</f>
        <v>0</v>
      </c>
      <c r="Q33" s="29">
        <v>0.7</v>
      </c>
      <c r="R33" s="27" t="str">
        <f>IF(P33&gt;=7,"Aprovado","Reprovado")</f>
        <v>Reprovado</v>
      </c>
      <c r="S33" s="27" t="str">
        <f>IF(Q33&gt;=75%,"Aprovado","Reprovado")</f>
        <v>Reprovado</v>
      </c>
      <c r="T33" s="22" t="str">
        <f>IF(Q33&gt;=75%,IF(P33&gt;=7,"Aprovado","Reprovado por Nota"),"Reprovado por Frequência")</f>
        <v>Reprovado por Frequência</v>
      </c>
    </row>
    <row r="35" spans="10:20" x14ac:dyDescent="0.25">
      <c r="K35" s="3"/>
      <c r="L35" s="3"/>
      <c r="M35" s="3"/>
      <c r="N35" s="3"/>
      <c r="O35" s="3"/>
      <c r="P35" s="3"/>
      <c r="Q35" s="3"/>
    </row>
    <row r="36" spans="10:20" x14ac:dyDescent="0.25">
      <c r="K36" s="3"/>
      <c r="L36" s="3"/>
      <c r="M36" s="3"/>
      <c r="N36" s="3"/>
      <c r="O36" s="3"/>
      <c r="P36" s="3"/>
      <c r="Q36" s="3"/>
    </row>
    <row r="37" spans="10:20" x14ac:dyDescent="0.25">
      <c r="K37" s="3"/>
      <c r="L37" s="3"/>
      <c r="M37" s="3"/>
      <c r="N37" s="3"/>
      <c r="O37" s="3"/>
      <c r="P37" s="3"/>
      <c r="Q37" s="3"/>
    </row>
    <row r="38" spans="10:20" ht="15.75" thickBot="1" x14ac:dyDescent="0.3">
      <c r="K38" s="3"/>
      <c r="L38" s="3"/>
      <c r="M38" s="3"/>
      <c r="N38" s="3"/>
      <c r="O38" s="3"/>
      <c r="P38" s="3"/>
      <c r="Q38" s="3"/>
    </row>
    <row r="39" spans="10:20" ht="15.75" thickBot="1" x14ac:dyDescent="0.3">
      <c r="J39" s="8"/>
      <c r="K39" s="8" t="s">
        <v>45</v>
      </c>
      <c r="L39" s="8"/>
      <c r="M39" s="3"/>
      <c r="N39" s="3"/>
      <c r="O39" s="3" t="s">
        <v>58</v>
      </c>
      <c r="P39" s="3"/>
      <c r="Q39" s="3"/>
    </row>
    <row r="40" spans="10:20" ht="15.75" thickBot="1" x14ac:dyDescent="0.3">
      <c r="J40" s="8" t="s">
        <v>46</v>
      </c>
      <c r="K40" s="8" t="s">
        <v>47</v>
      </c>
      <c r="L40" s="8" t="s">
        <v>48</v>
      </c>
      <c r="M40" s="3"/>
      <c r="N40" s="3"/>
      <c r="O40" s="3" t="s">
        <v>59</v>
      </c>
      <c r="P40" s="3"/>
      <c r="Q40" s="3"/>
    </row>
    <row r="41" spans="10:20" ht="15.75" thickBot="1" x14ac:dyDescent="0.3">
      <c r="J41" s="8" t="s">
        <v>49</v>
      </c>
      <c r="K41" s="8">
        <v>55</v>
      </c>
      <c r="L41" s="8" t="s">
        <v>53</v>
      </c>
      <c r="M41" s="3"/>
      <c r="N41" s="3"/>
      <c r="O41" s="3" t="s">
        <v>60</v>
      </c>
      <c r="P41" s="3"/>
      <c r="Q41" s="3"/>
    </row>
    <row r="42" spans="10:20" ht="15.75" thickBot="1" x14ac:dyDescent="0.3">
      <c r="J42" s="8" t="s">
        <v>44</v>
      </c>
      <c r="K42" s="8">
        <v>45</v>
      </c>
      <c r="L42" s="8" t="s">
        <v>57</v>
      </c>
      <c r="O42" s="3" t="str">
        <f>VLOOKUP("MARCIO",J40:L45,3,FALSE)</f>
        <v>Professor</v>
      </c>
    </row>
    <row r="43" spans="10:20" ht="15.75" thickBot="1" x14ac:dyDescent="0.3">
      <c r="J43" s="8" t="s">
        <v>52</v>
      </c>
      <c r="K43" s="8">
        <v>50</v>
      </c>
      <c r="L43" s="8" t="s">
        <v>54</v>
      </c>
      <c r="O43" s="3">
        <f>VLOOKUP("SUELI",J40:L45,2,FALSE)</f>
        <v>56</v>
      </c>
    </row>
    <row r="44" spans="10:20" ht="15.75" thickBot="1" x14ac:dyDescent="0.3">
      <c r="J44" s="8" t="s">
        <v>50</v>
      </c>
      <c r="K44" s="8">
        <v>37</v>
      </c>
      <c r="L44" s="8" t="s">
        <v>55</v>
      </c>
      <c r="O44" s="3" t="str">
        <f>VLOOKUP(L46,J40:L45,3,FALSE)</f>
        <v>Professor</v>
      </c>
    </row>
    <row r="45" spans="10:20" ht="15.75" thickBot="1" x14ac:dyDescent="0.3">
      <c r="J45" s="8" t="s">
        <v>51</v>
      </c>
      <c r="K45" s="8">
        <v>56</v>
      </c>
      <c r="L45" s="8" t="s">
        <v>56</v>
      </c>
    </row>
    <row r="46" spans="10:20" x14ac:dyDescent="0.25">
      <c r="L46" s="26" t="s">
        <v>52</v>
      </c>
    </row>
  </sheetData>
  <mergeCells count="11">
    <mergeCell ref="K28:T28"/>
    <mergeCell ref="N20:O20"/>
    <mergeCell ref="N21:O21"/>
    <mergeCell ref="N22:O22"/>
    <mergeCell ref="N23:O23"/>
    <mergeCell ref="N24:O24"/>
    <mergeCell ref="N25:O25"/>
    <mergeCell ref="M16:P16"/>
    <mergeCell ref="N17:O17"/>
    <mergeCell ref="N18:O18"/>
    <mergeCell ref="N19:O19"/>
  </mergeCells>
  <conditionalFormatting sqref="R11:R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0:T33">
    <cfRule type="cellIs" dxfId="2" priority="1" operator="equal">
      <formula>"Reprovado por Nota"</formula>
    </cfRule>
    <cfRule type="cellIs" dxfId="1" priority="2" operator="equal">
      <formula>"Aprovado"</formula>
    </cfRule>
    <cfRule type="duplicateValues" dxfId="0" priority="3"/>
  </conditionalFormatting>
  <dataValidations count="1">
    <dataValidation type="list" allowBlank="1" showInputMessage="1" showErrorMessage="1" sqref="L46" xr:uid="{6F8453F4-5343-4738-894E-6408B20ED561}">
      <formula1>$J$40:$J$45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D9E73-B063-47EE-801A-CF2087F8E065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Aula1-Introdução</vt:lpstr>
      <vt:lpstr>Planilha1</vt:lpstr>
      <vt:lpstr>INÍCIO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 DEV Tarde</dc:creator>
  <cp:lastModifiedBy>Aluno DEV Tarde</cp:lastModifiedBy>
  <cp:lastPrinted>2023-05-25T16:38:38Z</cp:lastPrinted>
  <dcterms:created xsi:type="dcterms:W3CDTF">2023-05-25T16:38:10Z</dcterms:created>
  <dcterms:modified xsi:type="dcterms:W3CDTF">2023-05-25T19:04:20Z</dcterms:modified>
</cp:coreProperties>
</file>