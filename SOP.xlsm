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ichStyles.xml" ContentType="application/vnd.ms-excel.richstyles+xml"/>
  <Override PartName="/xl/richData/rdrichvaluestructure.xml" ContentType="application/vnd.ms-excel.rdrichvaluestructure+xml"/>
  <Override PartName="/xl/richData/rdrichvalue.xml" ContentType="application/vnd.ms-excel.rdrichvalue+xml"/>
  <Override PartName="/xl/richData/rdRichValueTypes.xml" ContentType="application/vnd.ms-excel.rdrichvaluetypes+xml"/>
  <Override PartName="/xl/richData/rdsupportingpropertybag.xml" ContentType="application/vnd.ms-excel.rdsupportingpropertybag+xml"/>
  <Override PartName="/xl/richData/rdsupportingpropertybagstructure.xml" ContentType="application/vnd.ms-excel.rdsupportingpropertybagstruc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uno DEV Tarde\Desktop\"/>
    </mc:Choice>
  </mc:AlternateContent>
  <xr:revisionPtr revIDLastSave="0" documentId="13_ncr:1_{E0AB6257-DACB-44C6-B5DF-F2183E92DC97}" xr6:coauthVersionLast="36" xr6:coauthVersionMax="47" xr10:uidLastSave="{00000000-0000-0000-0000-000000000000}"/>
  <bookViews>
    <workbookView xWindow="20370" yWindow="-120" windowWidth="29040" windowHeight="15840" activeTab="2" xr2:uid="{C8A39967-F871-4F31-82F1-79FECA6E53FA}"/>
  </bookViews>
  <sheets>
    <sheet name="Exercicios" sheetId="1" r:id="rId1"/>
    <sheet name="Análise Dados" sheetId="4" r:id="rId2"/>
    <sheet name="Macros" sheetId="5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4" l="1"/>
  <c r="C5" i="4"/>
  <c r="C6" i="4"/>
  <c r="C7" i="4"/>
  <c r="C8" i="4"/>
  <c r="C9" i="4"/>
  <c r="C10" i="4"/>
  <c r="C11" i="4"/>
  <c r="C12" i="4"/>
  <c r="C13" i="4"/>
  <c r="H120" i="1"/>
  <c r="D118" i="1"/>
  <c r="D119" i="1"/>
  <c r="D120" i="1"/>
  <c r="D121" i="1"/>
  <c r="D122" i="1"/>
  <c r="D117" i="1"/>
  <c r="C173" i="1"/>
  <c r="D173" i="1"/>
  <c r="E173" i="1"/>
  <c r="F173" i="1"/>
  <c r="G173" i="1"/>
  <c r="H173" i="1"/>
  <c r="B173" i="1"/>
  <c r="H162" i="1"/>
  <c r="B150" i="1"/>
  <c r="B149" i="1"/>
  <c r="B148" i="1"/>
  <c r="B147" i="1"/>
  <c r="H163" i="1"/>
  <c r="H164" i="1"/>
  <c r="H165" i="1"/>
  <c r="H166" i="1"/>
  <c r="H167" i="1"/>
  <c r="H168" i="1"/>
  <c r="H169" i="1"/>
  <c r="H170" i="1"/>
  <c r="H171" i="1"/>
  <c r="H172" i="1"/>
  <c r="G163" i="1"/>
  <c r="G164" i="1"/>
  <c r="G165" i="1"/>
  <c r="G166" i="1"/>
  <c r="G167" i="1"/>
  <c r="G168" i="1"/>
  <c r="G169" i="1"/>
  <c r="G170" i="1"/>
  <c r="G171" i="1"/>
  <c r="G172" i="1"/>
  <c r="G162" i="1"/>
  <c r="F163" i="1"/>
  <c r="F164" i="1"/>
  <c r="F165" i="1"/>
  <c r="F166" i="1"/>
  <c r="F167" i="1"/>
  <c r="F168" i="1"/>
  <c r="F169" i="1"/>
  <c r="F170" i="1"/>
  <c r="F171" i="1"/>
  <c r="F172" i="1"/>
  <c r="F162" i="1"/>
  <c r="E163" i="1"/>
  <c r="E164" i="1"/>
  <c r="E165" i="1"/>
  <c r="E166" i="1"/>
  <c r="E167" i="1"/>
  <c r="E168" i="1"/>
  <c r="E169" i="1"/>
  <c r="E170" i="1"/>
  <c r="E171" i="1"/>
  <c r="E172" i="1"/>
  <c r="E162" i="1"/>
  <c r="B106" i="1"/>
  <c r="C108" i="1"/>
  <c r="D108" i="1"/>
  <c r="E108" i="1"/>
  <c r="D82" i="1"/>
  <c r="D83" i="1"/>
  <c r="D84" i="1"/>
  <c r="D85" i="1"/>
  <c r="D86" i="1"/>
  <c r="D87" i="1"/>
  <c r="D88" i="1"/>
  <c r="C82" i="1"/>
  <c r="C83" i="1"/>
  <c r="C84" i="1"/>
  <c r="C85" i="1"/>
  <c r="C86" i="1"/>
  <c r="C87" i="1"/>
  <c r="C88" i="1"/>
  <c r="D81" i="1"/>
  <c r="C81" i="1"/>
  <c r="C106" i="1" l="1"/>
  <c r="C107" i="1" s="1"/>
  <c r="D106" i="1"/>
  <c r="D107" i="1" s="1"/>
  <c r="E106" i="1"/>
  <c r="E107" i="1" s="1"/>
  <c r="B107" i="1"/>
  <c r="B108" i="1" s="1"/>
  <c r="F99" i="1"/>
  <c r="F100" i="1"/>
  <c r="F101" i="1"/>
  <c r="F102" i="1"/>
  <c r="F103" i="1"/>
  <c r="F104" i="1"/>
  <c r="F96" i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64" i="1"/>
  <c r="E64" i="1" s="1"/>
  <c r="G50" i="1"/>
  <c r="G51" i="1"/>
  <c r="G52" i="1"/>
  <c r="G53" i="1"/>
  <c r="G54" i="1"/>
  <c r="G55" i="1"/>
  <c r="G56" i="1"/>
  <c r="G49" i="1"/>
  <c r="F50" i="1"/>
  <c r="F51" i="1"/>
  <c r="F52" i="1"/>
  <c r="F53" i="1"/>
  <c r="F54" i="1"/>
  <c r="F55" i="1"/>
  <c r="F56" i="1"/>
  <c r="F49" i="1"/>
  <c r="C41" i="1"/>
  <c r="C42" i="1" s="1"/>
  <c r="D41" i="1"/>
  <c r="D42" i="1" s="1"/>
  <c r="E41" i="1"/>
  <c r="E42" i="1" s="1"/>
  <c r="F41" i="1"/>
  <c r="F42" i="1" s="1"/>
  <c r="G41" i="1"/>
  <c r="G42" i="1" s="1"/>
  <c r="B41" i="1"/>
  <c r="B42" i="1" s="1"/>
  <c r="D21" i="1"/>
  <c r="E21" i="1"/>
  <c r="C21" i="1"/>
  <c r="C10" i="1"/>
  <c r="I14" i="1"/>
  <c r="I15" i="1"/>
  <c r="I16" i="1"/>
  <c r="I17" i="1"/>
  <c r="I18" i="1"/>
  <c r="I19" i="1"/>
  <c r="H14" i="1"/>
  <c r="H15" i="1"/>
  <c r="H16" i="1"/>
  <c r="H17" i="1"/>
  <c r="H18" i="1"/>
  <c r="H19" i="1"/>
  <c r="G14" i="1"/>
  <c r="G15" i="1"/>
  <c r="G16" i="1"/>
  <c r="G17" i="1"/>
  <c r="G18" i="1"/>
  <c r="G19" i="1"/>
  <c r="F14" i="1"/>
  <c r="F15" i="1"/>
  <c r="F16" i="1"/>
  <c r="F17" i="1"/>
  <c r="F18" i="1"/>
  <c r="F19" i="1"/>
  <c r="D10" i="1"/>
  <c r="E10" i="1"/>
  <c r="I4" i="1"/>
  <c r="I5" i="1"/>
  <c r="I6" i="1"/>
  <c r="I7" i="1"/>
  <c r="I8" i="1"/>
  <c r="I3" i="1"/>
  <c r="H4" i="1"/>
  <c r="H5" i="1"/>
  <c r="H6" i="1"/>
  <c r="H7" i="1"/>
  <c r="H8" i="1"/>
  <c r="H3" i="1"/>
  <c r="G4" i="1"/>
  <c r="G5" i="1"/>
  <c r="G6" i="1"/>
  <c r="G7" i="1"/>
  <c r="G8" i="1"/>
  <c r="G3" i="1"/>
  <c r="F4" i="1"/>
  <c r="F5" i="1"/>
  <c r="F6" i="1"/>
  <c r="F7" i="1"/>
  <c r="F8" i="1"/>
  <c r="F3" i="1"/>
  <c r="H56" i="1" l="1"/>
  <c r="H50" i="1"/>
  <c r="H52" i="1"/>
  <c r="H49" i="1"/>
  <c r="H51" i="1"/>
  <c r="H54" i="1"/>
  <c r="H53" i="1"/>
  <c r="H55" i="1"/>
  <c r="F21" i="1"/>
  <c r="I10" i="1"/>
  <c r="H10" i="1"/>
  <c r="F10" i="1"/>
  <c r="G10" i="1"/>
  <c r="C23" i="1" l="1"/>
</calcChain>
</file>

<file path=xl/sharedStrings.xml><?xml version="1.0" encoding="utf-8"?>
<sst xmlns="http://schemas.openxmlformats.org/spreadsheetml/2006/main" count="249" uniqueCount="202">
  <si>
    <t>Codigo</t>
  </si>
  <si>
    <t>Produto</t>
  </si>
  <si>
    <t>Jan</t>
  </si>
  <si>
    <t>Fev</t>
  </si>
  <si>
    <t>Mar</t>
  </si>
  <si>
    <t>Total 1º Trimestre</t>
  </si>
  <si>
    <t>Máximo</t>
  </si>
  <si>
    <t>Mínimo</t>
  </si>
  <si>
    <t>Média</t>
  </si>
  <si>
    <t>Porca</t>
  </si>
  <si>
    <t>Parafuso</t>
  </si>
  <si>
    <t>Arruela</t>
  </si>
  <si>
    <t>Prego</t>
  </si>
  <si>
    <t>Alicate</t>
  </si>
  <si>
    <t>Martelo</t>
  </si>
  <si>
    <t>TOTAL</t>
  </si>
  <si>
    <t>Código</t>
  </si>
  <si>
    <t>Abr</t>
  </si>
  <si>
    <t>Mai</t>
  </si>
  <si>
    <t>Jun</t>
  </si>
  <si>
    <t>TOTAL SEMESTRE</t>
  </si>
  <si>
    <t>CONTAS</t>
  </si>
  <si>
    <t>JANEIRO</t>
  </si>
  <si>
    <t>FEVEREIRO</t>
  </si>
  <si>
    <t>MARÇO</t>
  </si>
  <si>
    <t>ABRIL</t>
  </si>
  <si>
    <t>MAIO</t>
  </si>
  <si>
    <t>JUNHO</t>
  </si>
  <si>
    <t>SALÁRIO</t>
  </si>
  <si>
    <t>ÁGUA</t>
  </si>
  <si>
    <t>LUZ</t>
  </si>
  <si>
    <t>ESCOLA</t>
  </si>
  <si>
    <t>IPTU</t>
  </si>
  <si>
    <t>IPVA</t>
  </si>
  <si>
    <t>SHOPPING</t>
  </si>
  <si>
    <t>COMBUSTÍVEL</t>
  </si>
  <si>
    <t>ACADEMIA</t>
  </si>
  <si>
    <t>SALDO</t>
  </si>
  <si>
    <t>Limeira Informática - Hardware e Software</t>
  </si>
  <si>
    <t>Nº</t>
  </si>
  <si>
    <t>NOME</t>
  </si>
  <si>
    <t>Salário Bruto</t>
  </si>
  <si>
    <t>INSS</t>
  </si>
  <si>
    <t>Gratificação</t>
  </si>
  <si>
    <t>INSS R$</t>
  </si>
  <si>
    <t>Gratificação R$</t>
  </si>
  <si>
    <t>Salário Liquido</t>
  </si>
  <si>
    <t>Eduardo</t>
  </si>
  <si>
    <t>Maria</t>
  </si>
  <si>
    <t>Helena</t>
  </si>
  <si>
    <t>Gabriela</t>
  </si>
  <si>
    <t>Edson</t>
  </si>
  <si>
    <t>Elisangela</t>
  </si>
  <si>
    <t>Regina</t>
  </si>
  <si>
    <t>Paulo</t>
  </si>
  <si>
    <t>Valor Do Dólar</t>
  </si>
  <si>
    <t>Papelaria Papel Branco</t>
  </si>
  <si>
    <t>Produtos</t>
  </si>
  <si>
    <t>Qtde</t>
  </si>
  <si>
    <t>Preço Unitario</t>
  </si>
  <si>
    <t>Total R$</t>
  </si>
  <si>
    <t>Total US$</t>
  </si>
  <si>
    <t>Caneta Azul</t>
  </si>
  <si>
    <t>Caneta Vermelha</t>
  </si>
  <si>
    <t>Caderno</t>
  </si>
  <si>
    <t>Régua</t>
  </si>
  <si>
    <t>Lápis</t>
  </si>
  <si>
    <t>Papel Sulfite</t>
  </si>
  <si>
    <t>Tinta Nanquim</t>
  </si>
  <si>
    <t>Fazer uma folha de pagamento e calcular o novo salário, baseado no aumento. Se o salário for menor ou
igual a R$ 1.000,00, aumento de 40%. Se for maior que R$ 1.000,00, aumento de 30%. Os valores R$
360,00 e R$ 1.260,00 da primeira linha também deverão ser calculados...</t>
  </si>
  <si>
    <t>Nome</t>
  </si>
  <si>
    <t>Salário</t>
  </si>
  <si>
    <t>Aumento</t>
  </si>
  <si>
    <t>Novo Salário</t>
  </si>
  <si>
    <t>João do Santos</t>
  </si>
  <si>
    <t>Maria da Silva</t>
  </si>
  <si>
    <t>Manoel das Flores</t>
  </si>
  <si>
    <t>Lambarildo Peixe</t>
  </si>
  <si>
    <t>Sebastião Souza</t>
  </si>
  <si>
    <t>Ana Flávia Silveira</t>
  </si>
  <si>
    <t>Silvia Helena Santos</t>
  </si>
  <si>
    <t>Alberto Roberto</t>
  </si>
  <si>
    <t>PROJEÇÃO PARA O ANO 2023</t>
  </si>
  <si>
    <t>Receita Bruta</t>
  </si>
  <si>
    <t>Jan-Mar</t>
  </si>
  <si>
    <t>Abr-Jun</t>
  </si>
  <si>
    <t>Jul-Set</t>
  </si>
  <si>
    <t>Out-Dez</t>
  </si>
  <si>
    <t>Total do Ano</t>
  </si>
  <si>
    <t>Despesa Liquida</t>
  </si>
  <si>
    <t>Salários</t>
  </si>
  <si>
    <t>Juros</t>
  </si>
  <si>
    <t>Aluguel</t>
  </si>
  <si>
    <t>Propaganda</t>
  </si>
  <si>
    <t>Suprimentos</t>
  </si>
  <si>
    <t>Diversos</t>
  </si>
  <si>
    <t>Total do Trim</t>
  </si>
  <si>
    <t>Receita Liquida</t>
  </si>
  <si>
    <t>Situação</t>
  </si>
  <si>
    <t>Valor Acumulado do Ano de Despesas</t>
  </si>
  <si>
    <t>Controle de Vendas</t>
  </si>
  <si>
    <t>Controle de idade</t>
  </si>
  <si>
    <t>Resultado</t>
  </si>
  <si>
    <t>Idade do Candidato</t>
  </si>
  <si>
    <t>A</t>
  </si>
  <si>
    <t>Idade mínima</t>
  </si>
  <si>
    <t>B</t>
  </si>
  <si>
    <t>Idade máxima</t>
  </si>
  <si>
    <t>C</t>
  </si>
  <si>
    <t>D</t>
  </si>
  <si>
    <t>Resultado:</t>
  </si>
  <si>
    <t>E</t>
  </si>
  <si>
    <t>F</t>
  </si>
  <si>
    <t>Endereço</t>
  </si>
  <si>
    <t>Bairro</t>
  </si>
  <si>
    <t>Cidade</t>
  </si>
  <si>
    <t>Estado</t>
  </si>
  <si>
    <t>Ana</t>
  </si>
  <si>
    <t>Rodovia Anhanguera, km 180</t>
  </si>
  <si>
    <t>Centro</t>
  </si>
  <si>
    <t>Leme</t>
  </si>
  <si>
    <t>SP</t>
  </si>
  <si>
    <t>R. Antonio de Castro, 362</t>
  </si>
  <si>
    <t>São Benedito</t>
  </si>
  <si>
    <t>Araras</t>
  </si>
  <si>
    <t>Érica</t>
  </si>
  <si>
    <t>R. Tiradentes, 123</t>
  </si>
  <si>
    <t>Salvador</t>
  </si>
  <si>
    <t>BA</t>
  </si>
  <si>
    <t>Fernanda</t>
  </si>
  <si>
    <t>Av. Orozimbo Maia,987</t>
  </si>
  <si>
    <t>Jd. Nova Campinas</t>
  </si>
  <si>
    <t>Campinas</t>
  </si>
  <si>
    <t>Rodovia Rio/São Paulo, km 77</t>
  </si>
  <si>
    <t>Praia Grande</t>
  </si>
  <si>
    <t>Ubatuba</t>
  </si>
  <si>
    <t>R. Julio Mesquita, 66</t>
  </si>
  <si>
    <t>Recife</t>
  </si>
  <si>
    <t>PE</t>
  </si>
  <si>
    <t>Katiane</t>
  </si>
  <si>
    <t>R.5, 78</t>
  </si>
  <si>
    <t>Europa</t>
  </si>
  <si>
    <t>Rio Claro</t>
  </si>
  <si>
    <t>Lilian</t>
  </si>
  <si>
    <t>R. Lambarildo Peixe, 812</t>
  </si>
  <si>
    <t>Vila Tubarão</t>
  </si>
  <si>
    <t>Ribeirão Preto</t>
  </si>
  <si>
    <t>Lucimara</t>
  </si>
  <si>
    <t>Av. dos Jequitibas, 11</t>
  </si>
  <si>
    <t>JD. Paulista</t>
  </si>
  <si>
    <t>Florianópolis</t>
  </si>
  <si>
    <t>SC</t>
  </si>
  <si>
    <t>Av.Ipiranga, 568</t>
  </si>
  <si>
    <t>Ibirapuera</t>
  </si>
  <si>
    <t>Manaus</t>
  </si>
  <si>
    <t>AM</t>
  </si>
  <si>
    <t>Pedro</t>
  </si>
  <si>
    <t>R.Sergipe, 765</t>
  </si>
  <si>
    <t>Botafogo</t>
  </si>
  <si>
    <t>Roberto</t>
  </si>
  <si>
    <t>Av.Limeira, 98</t>
  </si>
  <si>
    <t>Belvedere</t>
  </si>
  <si>
    <t>Rubens</t>
  </si>
  <si>
    <t>Al. Dos Laranjais, 99</t>
  </si>
  <si>
    <t>Rio de Janeiro</t>
  </si>
  <si>
    <t>RJ</t>
  </si>
  <si>
    <t>Sônia</t>
  </si>
  <si>
    <t>R. das Quaresmeiras, 810</t>
  </si>
  <si>
    <t>Vila Claudia</t>
  </si>
  <si>
    <t>Porto Alegre</t>
  </si>
  <si>
    <t>RS</t>
  </si>
  <si>
    <t>Tatiane</t>
  </si>
  <si>
    <t>R. Minas Gerais, 67</t>
  </si>
  <si>
    <t>Parque Industrial</t>
  </si>
  <si>
    <t>Poços de Caldas</t>
  </si>
  <si>
    <t>MG</t>
  </si>
  <si>
    <t>Tabela de Preços</t>
  </si>
  <si>
    <t>Porc. De Lucro</t>
  </si>
  <si>
    <t>Valor do Dólar:</t>
  </si>
  <si>
    <t>Reais</t>
  </si>
  <si>
    <t>Dólar</t>
  </si>
  <si>
    <t>Estoque</t>
  </si>
  <si>
    <t>Custo</t>
  </si>
  <si>
    <t>Venda</t>
  </si>
  <si>
    <t>Total</t>
  </si>
  <si>
    <t>Borracha</t>
  </si>
  <si>
    <t>Caderno 100 fls</t>
  </si>
  <si>
    <t>Caderno 200 fls</t>
  </si>
  <si>
    <t>Lapiseira</t>
  </si>
  <si>
    <t>Régua 15 cm</t>
  </si>
  <si>
    <t>Régua 30 cm</t>
  </si>
  <si>
    <t>Giz de Cera</t>
  </si>
  <si>
    <t>Cola</t>
  </si>
  <si>
    <t>Compasso</t>
  </si>
  <si>
    <t>Totais</t>
  </si>
  <si>
    <t>Coluna1</t>
  </si>
  <si>
    <t>Coluna2</t>
  </si>
  <si>
    <t>Coluna3</t>
  </si>
  <si>
    <t>Coluna4</t>
  </si>
  <si>
    <t>Tabuada</t>
  </si>
  <si>
    <t>número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</si>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</sst>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164" formatCode="_-[$R$-416]\ * #,##0.00_-;\-[$R$-416]\ * #,##0.00_-;_-[$R$-416]\ * &quot;-&quot;??_-;_-@_-"/>
  </numFmts>
  <fonts count="5" x14ac:knownFonts="1">
    <font>
      <sz val="11"/>
      <color theme="1"/>
      <name val="Calisto MT"/>
      <family val="2"/>
      <scheme val="minor"/>
    </font>
    <font>
      <b/>
      <sz val="11"/>
      <color theme="1"/>
      <name val="Calisto MT"/>
      <family val="2"/>
      <scheme val="minor"/>
    </font>
    <font>
      <b/>
      <sz val="14"/>
      <color theme="1"/>
      <name val="Calisto MT"/>
      <family val="2"/>
      <scheme val="minor"/>
    </font>
    <font>
      <b/>
      <sz val="11"/>
      <name val="Calisto MT"/>
      <family val="2"/>
      <scheme val="minor"/>
    </font>
    <font>
      <sz val="11"/>
      <name val="Calisto MT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wrapText="1"/>
    </xf>
    <xf numFmtId="0" fontId="0" fillId="2" borderId="0" xfId="0" applyFill="1" applyBorder="1"/>
    <xf numFmtId="0" fontId="1" fillId="2" borderId="0" xfId="0" applyFont="1" applyFill="1" applyBorder="1" applyAlignment="1">
      <alignment wrapText="1"/>
    </xf>
    <xf numFmtId="0" fontId="0" fillId="2" borderId="0" xfId="0" applyFill="1" applyBorder="1" applyAlignment="1">
      <alignment horizontal="right" wrapText="1"/>
    </xf>
    <xf numFmtId="2" fontId="0" fillId="2" borderId="0" xfId="0" applyNumberFormat="1" applyFill="1" applyBorder="1" applyAlignment="1">
      <alignment horizontal="right" wrapText="1"/>
    </xf>
    <xf numFmtId="2" fontId="0" fillId="2" borderId="0" xfId="0" applyNumberFormat="1" applyFill="1" applyBorder="1" applyAlignment="1">
      <alignment wrapText="1"/>
    </xf>
    <xf numFmtId="4" fontId="0" fillId="2" borderId="0" xfId="0" applyNumberFormat="1" applyFill="1" applyBorder="1" applyAlignment="1">
      <alignment wrapText="1"/>
    </xf>
    <xf numFmtId="4" fontId="0" fillId="2" borderId="0" xfId="0" applyNumberFormat="1" applyFill="1" applyBorder="1" applyAlignment="1">
      <alignment horizontal="right" wrapText="1"/>
    </xf>
    <xf numFmtId="0" fontId="1" fillId="2" borderId="0" xfId="0" applyFont="1" applyFill="1" applyBorder="1" applyAlignment="1">
      <alignment horizontal="center" wrapText="1"/>
    </xf>
    <xf numFmtId="8" fontId="0" fillId="2" borderId="0" xfId="0" applyNumberFormat="1" applyFill="1" applyBorder="1" applyAlignment="1">
      <alignment horizontal="right" wrapText="1"/>
    </xf>
    <xf numFmtId="8" fontId="0" fillId="2" borderId="0" xfId="0" applyNumberFormat="1" applyFill="1" applyBorder="1" applyAlignment="1">
      <alignment wrapText="1"/>
    </xf>
    <xf numFmtId="10" fontId="0" fillId="2" borderId="0" xfId="0" applyNumberFormat="1" applyFill="1" applyBorder="1" applyAlignment="1">
      <alignment horizontal="right" wrapText="1"/>
    </xf>
    <xf numFmtId="164" fontId="0" fillId="2" borderId="0" xfId="0" applyNumberFormat="1" applyFill="1" applyBorder="1" applyAlignment="1">
      <alignment wrapText="1"/>
    </xf>
    <xf numFmtId="0" fontId="0" fillId="2" borderId="0" xfId="0" applyFill="1" applyBorder="1" applyAlignment="1">
      <alignment horizontal="center" wrapText="1"/>
    </xf>
    <xf numFmtId="0" fontId="3" fillId="2" borderId="0" xfId="0" applyFont="1" applyFill="1" applyBorder="1" applyAlignment="1">
      <alignment wrapText="1"/>
    </xf>
    <xf numFmtId="0" fontId="4" fillId="2" borderId="0" xfId="0" applyFont="1" applyFill="1" applyBorder="1" applyAlignment="1">
      <alignment wrapText="1"/>
    </xf>
    <xf numFmtId="4" fontId="0" fillId="3" borderId="0" xfId="0" applyNumberFormat="1" applyFill="1" applyBorder="1" applyAlignment="1">
      <alignment horizontal="right" wrapText="1"/>
    </xf>
    <xf numFmtId="0" fontId="0" fillId="2" borderId="2" xfId="0" applyFill="1" applyBorder="1" applyAlignment="1">
      <alignment wrapText="1"/>
    </xf>
    <xf numFmtId="0" fontId="0" fillId="2" borderId="3" xfId="0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2" borderId="4" xfId="0" applyFill="1" applyBorder="1" applyAlignment="1">
      <alignment wrapText="1"/>
    </xf>
    <xf numFmtId="0" fontId="0" fillId="2" borderId="5" xfId="0" applyFill="1" applyBorder="1" applyAlignment="1">
      <alignment wrapText="1"/>
    </xf>
    <xf numFmtId="0" fontId="1" fillId="2" borderId="6" xfId="0" applyFont="1" applyFill="1" applyBorder="1" applyAlignment="1">
      <alignment horizontal="center" vertical="center" wrapText="1"/>
    </xf>
    <xf numFmtId="0" fontId="0" fillId="2" borderId="6" xfId="0" applyFill="1" applyBorder="1" applyAlignment="1">
      <alignment wrapText="1"/>
    </xf>
    <xf numFmtId="0" fontId="0" fillId="2" borderId="7" xfId="0" applyFill="1" applyBorder="1" applyAlignment="1">
      <alignment wrapText="1"/>
    </xf>
    <xf numFmtId="0" fontId="0" fillId="2" borderId="8" xfId="0" applyFill="1" applyBorder="1" applyAlignment="1">
      <alignment wrapText="1"/>
    </xf>
    <xf numFmtId="0" fontId="1" fillId="2" borderId="9" xfId="0" applyFont="1" applyFill="1" applyBorder="1" applyAlignment="1">
      <alignment horizontal="center" vertical="center" wrapText="1"/>
    </xf>
    <xf numFmtId="0" fontId="0" fillId="2" borderId="9" xfId="0" applyFill="1" applyBorder="1" applyAlignment="1">
      <alignment wrapText="1"/>
    </xf>
    <xf numFmtId="0" fontId="0" fillId="2" borderId="10" xfId="0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1" fillId="2" borderId="4" xfId="0" applyFont="1" applyFill="1" applyBorder="1" applyAlignment="1">
      <alignment horizontal="center" wrapText="1"/>
    </xf>
    <xf numFmtId="0" fontId="3" fillId="2" borderId="2" xfId="0" applyFont="1" applyFill="1" applyBorder="1" applyAlignment="1">
      <alignment wrapText="1"/>
    </xf>
    <xf numFmtId="8" fontId="4" fillId="2" borderId="4" xfId="0" applyNumberFormat="1" applyFont="1" applyFill="1" applyBorder="1" applyAlignment="1">
      <alignment horizontal="right" wrapText="1"/>
    </xf>
    <xf numFmtId="4" fontId="4" fillId="2" borderId="0" xfId="0" applyNumberFormat="1" applyFont="1" applyFill="1" applyBorder="1" applyAlignment="1">
      <alignment horizontal="right" wrapText="1"/>
    </xf>
    <xf numFmtId="0" fontId="4" fillId="2" borderId="0" xfId="0" applyFont="1" applyFill="1" applyBorder="1" applyAlignment="1">
      <alignment horizontal="right" wrapText="1"/>
    </xf>
    <xf numFmtId="0" fontId="3" fillId="2" borderId="0" xfId="0" applyFont="1" applyFill="1" applyBorder="1" applyAlignment="1">
      <alignment horizontal="center" wrapText="1"/>
    </xf>
    <xf numFmtId="0" fontId="0" fillId="3" borderId="0" xfId="0" applyFill="1" applyBorder="1" applyAlignment="1">
      <alignment wrapText="1"/>
    </xf>
    <xf numFmtId="0" fontId="0" fillId="2" borderId="1" xfId="0" applyFill="1" applyBorder="1" applyAlignment="1">
      <alignment wrapText="1"/>
    </xf>
    <xf numFmtId="10" fontId="0" fillId="2" borderId="7" xfId="0" applyNumberFormat="1" applyFill="1" applyBorder="1" applyAlignment="1">
      <alignment horizontal="right" wrapText="1"/>
    </xf>
    <xf numFmtId="0" fontId="0" fillId="2" borderId="10" xfId="0" applyFill="1" applyBorder="1" applyAlignment="1">
      <alignment horizontal="right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wrapText="1"/>
    </xf>
    <xf numFmtId="0" fontId="4" fillId="3" borderId="0" xfId="0" applyFont="1" applyFill="1" applyBorder="1" applyAlignment="1">
      <alignment horizontal="center" wrapText="1"/>
    </xf>
    <xf numFmtId="0" fontId="0" fillId="2" borderId="0" xfId="0" applyFill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</cellXfs>
  <cellStyles count="1">
    <cellStyle name="Normal" xfId="0" builtinId="0"/>
  </cellStyles>
  <dxfs count="10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numFmt numFmtId="12" formatCode="&quot;R$&quot;\ #,##0.00;[Red]\-&quot;R$&quot;\ #,##0.00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  <dxf>
      <numFmt numFmtId="12" formatCode="&quot;R$&quot;\ #,##0.00;[Red]\-&quot;R$&quot;\ #,##0.00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numFmt numFmtId="4" formatCode="#,##0.00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numFmt numFmtId="4" formatCode="#,##0.00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numFmt numFmtId="12" formatCode="&quot;R$&quot;\ #,##0.00;[Red]\-&quot;R$&quot;\ #,##0.00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numFmt numFmtId="12" formatCode="&quot;R$&quot;\ #,##0.00;[Red]\-&quot;R$&quot;\ #,##0.00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numFmt numFmtId="12" formatCode="&quot;R$&quot;\ #,##0.00;[Red]\-&quot;R$&quot;\ #,##0.00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numFmt numFmtId="12" formatCode="&quot;R$&quot;\ #,##0.00;[Red]\-&quot;R$&quot;\ #,##0.00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numFmt numFmtId="12" formatCode="&quot;R$&quot;\ #,##0.00;[Red]\-&quot;R$&quot;\ #,##0.00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numFmt numFmtId="12" formatCode="&quot;R$&quot;\ #,##0.00;[Red]\-&quot;R$&quot;\ #,##0.00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numFmt numFmtId="14" formatCode="0.00%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  <dxf>
      <numFmt numFmtId="14" formatCode="0.00%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  <dxf>
      <numFmt numFmtId="12" formatCode="&quot;R$&quot;\ #,##0.00;[Red]\-&quot;R$&quot;\ #,##0.00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sto MT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13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" Target="richData/rdrichvalue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ichStyles" Target="richData/richStyles.xml"/><Relationship Id="rId14" Type="http://schemas.microsoft.com/office/2017/06/relationships/rdSupportingPropertyBagStructure" Target="richData/rdsupportingpropertybag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Exercicios!$A$162:$A$173</c:f>
              <c:strCache>
                <c:ptCount val="12"/>
                <c:pt idx="0">
                  <c:v>Borracha</c:v>
                </c:pt>
                <c:pt idx="1">
                  <c:v>Caderno 100 fls</c:v>
                </c:pt>
                <c:pt idx="2">
                  <c:v>Caderno 200 fls</c:v>
                </c:pt>
                <c:pt idx="3">
                  <c:v>Caneta Azul</c:v>
                </c:pt>
                <c:pt idx="4">
                  <c:v>Caneta Vermelha</c:v>
                </c:pt>
                <c:pt idx="5">
                  <c:v>Lapiseira</c:v>
                </c:pt>
                <c:pt idx="6">
                  <c:v>Régua 15 cm</c:v>
                </c:pt>
                <c:pt idx="7">
                  <c:v>Régua 30 cm</c:v>
                </c:pt>
                <c:pt idx="8">
                  <c:v>Giz de Cera</c:v>
                </c:pt>
                <c:pt idx="9">
                  <c:v>Cola</c:v>
                </c:pt>
                <c:pt idx="10">
                  <c:v>Compasso</c:v>
                </c:pt>
                <c:pt idx="11">
                  <c:v>Totais</c:v>
                </c:pt>
              </c:strCache>
            </c:strRef>
          </c:cat>
          <c:val>
            <c:numRef>
              <c:f>Exercicios!$C$162:$C$173</c:f>
              <c:numCache>
                <c:formatCode>"R$"#,##0.00_);[Red]\("R$"#,##0.00\)</c:formatCode>
                <c:ptCount val="12"/>
                <c:pt idx="0">
                  <c:v>0.5</c:v>
                </c:pt>
                <c:pt idx="1">
                  <c:v>2.57</c:v>
                </c:pt>
                <c:pt idx="2">
                  <c:v>5</c:v>
                </c:pt>
                <c:pt idx="3">
                  <c:v>0.15</c:v>
                </c:pt>
                <c:pt idx="4">
                  <c:v>0.15</c:v>
                </c:pt>
                <c:pt idx="5">
                  <c:v>3</c:v>
                </c:pt>
                <c:pt idx="6">
                  <c:v>0.25</c:v>
                </c:pt>
                <c:pt idx="7">
                  <c:v>0.35</c:v>
                </c:pt>
                <c:pt idx="8">
                  <c:v>6</c:v>
                </c:pt>
                <c:pt idx="9">
                  <c:v>3.14</c:v>
                </c:pt>
                <c:pt idx="10">
                  <c:v>5.68</c:v>
                </c:pt>
                <c:pt idx="11" formatCode="General">
                  <c:v>26.79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9C-4633-9154-5BA56258440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Exercicios!$A$162:$A$173</c:f>
              <c:strCache>
                <c:ptCount val="12"/>
                <c:pt idx="0">
                  <c:v>Borracha</c:v>
                </c:pt>
                <c:pt idx="1">
                  <c:v>Caderno 100 fls</c:v>
                </c:pt>
                <c:pt idx="2">
                  <c:v>Caderno 200 fls</c:v>
                </c:pt>
                <c:pt idx="3">
                  <c:v>Caneta Azul</c:v>
                </c:pt>
                <c:pt idx="4">
                  <c:v>Caneta Vermelha</c:v>
                </c:pt>
                <c:pt idx="5">
                  <c:v>Lapiseira</c:v>
                </c:pt>
                <c:pt idx="6">
                  <c:v>Régua 15 cm</c:v>
                </c:pt>
                <c:pt idx="7">
                  <c:v>Régua 30 cm</c:v>
                </c:pt>
                <c:pt idx="8">
                  <c:v>Giz de Cera</c:v>
                </c:pt>
                <c:pt idx="9">
                  <c:v>Cola</c:v>
                </c:pt>
                <c:pt idx="10">
                  <c:v>Compasso</c:v>
                </c:pt>
                <c:pt idx="11">
                  <c:v>Totais</c:v>
                </c:pt>
              </c:strCache>
            </c:strRef>
          </c:cat>
          <c:val>
            <c:numRef>
              <c:f>Exercicios!$D$162:$D$173</c:f>
              <c:numCache>
                <c:formatCode>"R$"#,##0.00_);[Red]\("R$"#,##0.00\)</c:formatCode>
                <c:ptCount val="12"/>
                <c:pt idx="0">
                  <c:v>0.55000000000000004</c:v>
                </c:pt>
                <c:pt idx="1">
                  <c:v>2.7</c:v>
                </c:pt>
                <c:pt idx="2">
                  <c:v>5.5</c:v>
                </c:pt>
                <c:pt idx="3">
                  <c:v>0.25</c:v>
                </c:pt>
                <c:pt idx="4">
                  <c:v>0.25</c:v>
                </c:pt>
                <c:pt idx="5">
                  <c:v>3.5</c:v>
                </c:pt>
                <c:pt idx="6">
                  <c:v>0.3</c:v>
                </c:pt>
                <c:pt idx="7">
                  <c:v>0.45</c:v>
                </c:pt>
                <c:pt idx="8">
                  <c:v>6.5</c:v>
                </c:pt>
                <c:pt idx="9">
                  <c:v>4</c:v>
                </c:pt>
                <c:pt idx="10">
                  <c:v>6</c:v>
                </c:pt>
                <c:pt idx="11" formatCode="General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9C-4633-9154-5BA56258440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Exercicios!$A$162:$A$173</c:f>
              <c:strCache>
                <c:ptCount val="12"/>
                <c:pt idx="0">
                  <c:v>Borracha</c:v>
                </c:pt>
                <c:pt idx="1">
                  <c:v>Caderno 100 fls</c:v>
                </c:pt>
                <c:pt idx="2">
                  <c:v>Caderno 200 fls</c:v>
                </c:pt>
                <c:pt idx="3">
                  <c:v>Caneta Azul</c:v>
                </c:pt>
                <c:pt idx="4">
                  <c:v>Caneta Vermelha</c:v>
                </c:pt>
                <c:pt idx="5">
                  <c:v>Lapiseira</c:v>
                </c:pt>
                <c:pt idx="6">
                  <c:v>Régua 15 cm</c:v>
                </c:pt>
                <c:pt idx="7">
                  <c:v>Régua 30 cm</c:v>
                </c:pt>
                <c:pt idx="8">
                  <c:v>Giz de Cera</c:v>
                </c:pt>
                <c:pt idx="9">
                  <c:v>Cola</c:v>
                </c:pt>
                <c:pt idx="10">
                  <c:v>Compasso</c:v>
                </c:pt>
                <c:pt idx="11">
                  <c:v>Totais</c:v>
                </c:pt>
              </c:strCache>
            </c:strRef>
          </c:cat>
          <c:val>
            <c:numRef>
              <c:f>Exercicios!$F$162:$F$173</c:f>
              <c:numCache>
                <c:formatCode>General</c:formatCode>
                <c:ptCount val="12"/>
                <c:pt idx="0">
                  <c:v>0.14970059880239522</c:v>
                </c:pt>
                <c:pt idx="1">
                  <c:v>0.76946107784431139</c:v>
                </c:pt>
                <c:pt idx="2">
                  <c:v>1.4970059880239521</c:v>
                </c:pt>
                <c:pt idx="3">
                  <c:v>4.4910179640718563E-2</c:v>
                </c:pt>
                <c:pt idx="4">
                  <c:v>4.4910179640718563E-2</c:v>
                </c:pt>
                <c:pt idx="5">
                  <c:v>0.89820359281437134</c:v>
                </c:pt>
                <c:pt idx="6">
                  <c:v>7.4850299401197612E-2</c:v>
                </c:pt>
                <c:pt idx="7">
                  <c:v>0.10479041916167664</c:v>
                </c:pt>
                <c:pt idx="8">
                  <c:v>1.7964071856287427</c:v>
                </c:pt>
                <c:pt idx="9">
                  <c:v>0.940119760479042</c:v>
                </c:pt>
                <c:pt idx="10">
                  <c:v>1.7005988023952097</c:v>
                </c:pt>
                <c:pt idx="11">
                  <c:v>8.0209580838323351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9C-4633-9154-5BA562584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45048"/>
        <c:axId val="441343408"/>
        <c:axId val="441338472"/>
      </c:line3DChart>
      <c:catAx>
        <c:axId val="44134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343408"/>
        <c:crosses val="autoZero"/>
        <c:auto val="1"/>
        <c:lblAlgn val="ctr"/>
        <c:lblOffset val="100"/>
        <c:noMultiLvlLbl val="0"/>
      </c:catAx>
      <c:valAx>
        <c:axId val="44134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#,##0.00_);[Red]\(&quot;R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345048"/>
        <c:crosses val="autoZero"/>
        <c:crossBetween val="between"/>
      </c:valAx>
      <c:serAx>
        <c:axId val="4413384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34340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1147762</xdr:colOff>
      <xdr:row>174</xdr:row>
      <xdr:rowOff>133350</xdr:rowOff>
    </xdr:from>
    <xdr:to>
      <xdr:col>6</xdr:col>
      <xdr:colOff>704850</xdr:colOff>
      <xdr:row>191</xdr:row>
      <xdr:rowOff>66675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538DB3-1E62-4382-9FD5-649006F7F7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11</xdr:row>
      <xdr:rowOff>457200</xdr:rowOff>
    </xdr:from>
    <xdr:to>
      <xdr:col>4</xdr:col>
      <xdr:colOff>485775</xdr:colOff>
      <xdr:row>13</xdr:row>
      <xdr:rowOff>238125</xdr:rowOff>
    </xdr:to>
    <xdr:sp macro="[0]!Macro_XI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9FADAF2-ED74-4BDC-AE80-D21BA04B19F6}"/>
            </a:ext>
          </a:extLst>
        </xdr:cNvPr>
        <xdr:cNvSpPr/>
      </xdr:nvSpPr>
      <xdr:spPr>
        <a:xfrm>
          <a:off x="1905000" y="2457450"/>
          <a:ext cx="1323975" cy="1038225"/>
        </a:xfrm>
        <a:prstGeom prst="roundRect">
          <a:avLst/>
        </a:prstGeom>
        <a:solidFill>
          <a:srgbClr val="00B0F0"/>
        </a:solidFill>
        <a:ln>
          <a:solidFill>
            <a:sysClr val="windowText" lastClr="000000"/>
          </a:solidFill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X</a:t>
          </a:r>
        </a:p>
      </xdr:txBody>
    </xdr:sp>
    <xdr:clientData/>
  </xdr:twoCellAnchor>
  <xdr:twoCellAnchor>
    <xdr:from>
      <xdr:col>8</xdr:col>
      <xdr:colOff>190500</xdr:colOff>
      <xdr:row>11</xdr:row>
      <xdr:rowOff>419100</xdr:rowOff>
    </xdr:from>
    <xdr:to>
      <xdr:col>10</xdr:col>
      <xdr:colOff>142875</xdr:colOff>
      <xdr:row>13</xdr:row>
      <xdr:rowOff>200025</xdr:rowOff>
    </xdr:to>
    <xdr:sp macro="[0]!Macro_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5E18947-1460-4210-BAC7-8838A15AACC4}"/>
            </a:ext>
          </a:extLst>
        </xdr:cNvPr>
        <xdr:cNvSpPr/>
      </xdr:nvSpPr>
      <xdr:spPr>
        <a:xfrm>
          <a:off x="5676900" y="2419350"/>
          <a:ext cx="1323975" cy="1038225"/>
        </a:xfrm>
        <a:prstGeom prst="roundRect">
          <a:avLst/>
        </a:prstGeom>
        <a:solidFill>
          <a:srgbClr val="00B0F0"/>
        </a:solidFill>
        <a:ln>
          <a:solidFill>
            <a:sysClr val="windowText" lastClr="000000"/>
          </a:solidFill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O</a:t>
          </a:r>
        </a:p>
      </xdr:txBody>
    </xdr:sp>
    <xdr:clientData/>
  </xdr:twoCellAnchor>
  <xdr:twoCellAnchor>
    <xdr:from>
      <xdr:col>5</xdr:col>
      <xdr:colOff>38100</xdr:colOff>
      <xdr:row>15</xdr:row>
      <xdr:rowOff>66675</xdr:rowOff>
    </xdr:from>
    <xdr:to>
      <xdr:col>7</xdr:col>
      <xdr:colOff>666750</xdr:colOff>
      <xdr:row>18</xdr:row>
      <xdr:rowOff>85725</xdr:rowOff>
    </xdr:to>
    <xdr:sp macro="[0]!Macro_RESE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9899BBD-B6F8-4030-9764-B0B9A16733D2}"/>
            </a:ext>
          </a:extLst>
        </xdr:cNvPr>
        <xdr:cNvSpPr/>
      </xdr:nvSpPr>
      <xdr:spPr>
        <a:xfrm>
          <a:off x="3467100" y="4133850"/>
          <a:ext cx="2000250" cy="561975"/>
        </a:xfrm>
        <a:prstGeom prst="roundRect">
          <a:avLst/>
        </a:prstGeom>
        <a:solidFill>
          <a:srgbClr val="00B0F0"/>
        </a:solidFill>
        <a:ln>
          <a:solidFill>
            <a:sysClr val="windowText" lastClr="000000"/>
          </a:solidFill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RESET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2">
  <rv s="0">
    <v>pt-BR</v>
    <v>avylgh</v>
    <v>268435456</v>
    <v>1</v>
    <v>Da plataforma Refinitiv</v>
    <v>0</v>
    <v>1</v>
    <v>USD/BRL</v>
    <v>3</v>
    <v>4</v>
    <v>Finance</v>
    <v>5</v>
    <v>5.5297000000000001</v>
    <v>4.6896000000000004</v>
    <v>5.0575000000000001</v>
    <v>5.0556999999999999</v>
    <v>USD</v>
    <v>5.0574000000000003</v>
    <v>45078.072488425925</v>
    <v>BRL</v>
    <v>US Dollar/Brazilian Real FX Spot Rate</v>
    <v>5.0548999999999999</v>
    <v>5.0553999999999997</v>
    <v>USDBRL</v>
    <v>Par de Moedas</v>
    <v>USD/BRL</v>
    <v>-2E-3</v>
    <v>-3.9550000000000002E-4</v>
  </rv>
  <rv s="1">
    <v>0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CanonicalPropertyNames" t="spb"/>
    <k n="_Display" t="spb"/>
    <k n="_DisplayString" t="s"/>
    <k n="_Flags" t="spb"/>
    <k n="_Format" t="spb"/>
    <k n="_Icon" t="s"/>
    <k n="_SubLabel" t="spb"/>
    <k n="52 semanas de alta"/>
    <k n="52 semanas de baixa"/>
    <k n="Alto"/>
    <k n="Baixo"/>
    <k n="Da moeda" t="s"/>
    <k n="Fechamento anterior"/>
    <k n="Hora da última transação"/>
    <k n="Moeda" t="s"/>
    <k n="Nome" t="s"/>
    <k n="Pendência"/>
    <k n="Preço"/>
    <k n="Símbolo do ticker" t="s"/>
    <k n="Tipo de instrumento" t="s"/>
    <k n="UniqueName" t="s"/>
    <k n="Variação"/>
    <k n="Variação (%)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8">
      <v t="s">%EntityServiceId</v>
      <v t="s">_Format</v>
      <v t="s">%IsRefreshable</v>
      <v t="s">_CanonicalPropertyNames</v>
      <v t="s">%EntityCulture</v>
      <v t="s">%EntityId</v>
      <v t="s">_Icon</v>
      <v t="s">_Display</v>
      <v t="s">Nome</v>
      <v t="s">Preço</v>
      <v t="s">_SubLabel</v>
      <v t="s">Hora da última transação</v>
      <v t="s">Símbolo do ticker</v>
      <v t="s">Variação</v>
      <v t="s">Variação (%)</v>
      <v t="s">Moeda</v>
      <v t="s">Da moeda</v>
      <v t="s">Fechamento anterior</v>
      <v t="s">Pendência</v>
      <v t="s">Alto</v>
      <v t="s">Baixo</v>
      <v t="s">52 semanas de alta</v>
      <v t="s">52 semanas de baixa</v>
      <v t="s">Tipo de instrumento</v>
      <v t="s">_Flags</v>
      <v t="s">UniqueName</v>
      <v t="s">_DisplayString</v>
      <v t="s">%ProviderInfo</v>
    </a>
  </spbArrays>
  <spbData count="6">
    <spb s="0">
      <v>High</v>
      <v>Name</v>
      <v>Low</v>
      <v>Currency</v>
      <v>Price</v>
      <v>From currency</v>
      <v>Change</v>
      <v>Open</v>
      <v>UniqueName</v>
      <v>Change (%)</v>
      <v>%ProviderInfo</v>
      <v>Ticker symbol</v>
      <v>52 week high</v>
      <v>52 week low</v>
      <v>Previous close</v>
      <v>Instrument type</v>
      <v>Last trade time</v>
    </spb>
    <spb s="1">
      <v>0</v>
      <v>Name</v>
    </spb>
    <spb s="2">
      <v>0</v>
      <v>0</v>
      <v>0</v>
    </spb>
    <spb s="3">
      <v>2</v>
      <v>2</v>
    </spb>
    <spb s="4">
      <v>1</v>
      <v>2</v>
      <v>1</v>
      <v>1</v>
      <v>1</v>
      <v>1</v>
      <v>3</v>
      <v>4</v>
      <v>1</v>
      <v>1</v>
      <v>1</v>
      <v>5</v>
    </spb>
    <spb s="5">
      <v>GMT</v>
    </spb>
  </spbData>
</supportingPropertyBags>
</file>

<file path=xl/richData/rdsupportingpropertybagstructure.xml><?xml version="1.0" encoding="utf-8"?>
<spbStructures xmlns="http://schemas.microsoft.com/office/spreadsheetml/2017/richdata2" count="6">
  <s>
    <k n="Alto" t="s"/>
    <k n="Nome" t="s"/>
    <k n="Baixo" t="s"/>
    <k n="Moeda" t="s"/>
    <k n="Preço" t="s"/>
    <k n="Da moeda" t="s"/>
    <k n="Variação" t="s"/>
    <k n="Pendência" t="s"/>
    <k n="UniqueName" t="s"/>
    <k n="Variação (%)" t="s"/>
    <k n="%ProviderInfo" t="s"/>
    <k n="Símbolo do ticker" t="s"/>
    <k n="52 semanas de alta" t="s"/>
    <k n="52 semanas de baixa" t="s"/>
    <k n="Fechamento anterior" t="s"/>
    <k n="Tipo de instrumento" t="s"/>
    <k n="Hora da última transação" t="s"/>
  </s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Alto" t="i"/>
    <k n="Nome" t="i"/>
    <k n="Baixo" t="i"/>
    <k n="Preço" t="i"/>
    <k n="Variação" t="i"/>
    <k n="Pendência" t="i"/>
    <k n="Variação (%)" t="i"/>
    <k n="`%EntityServiceId" t="i"/>
    <k n="52 semanas de alta" t="i"/>
    <k n="52 semanas de baixa" t="i"/>
    <k n="Fechamento anterior" t="i"/>
    <k n="Hora da última transação" t="i"/>
  </s>
  <s>
    <k n="Hora da última transação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0" formatCode="General"/>
    </x:dxf>
    <x:dxf>
      <x:numFmt numFmtId="27" formatCode="dd/mm/yyyy\ hh:mm"/>
    </x:dxf>
    <x:dxf>
      <x:numFmt numFmtId="14" formatCode="0.00%"/>
    </x:dxf>
  </dxfs>
  <richProperties>
    <rPr n="NumberFormat" t="s"/>
    <rPr n="IsTitleField" t="b"/>
  </richProperties>
  <richStyles>
    <rSty dxfid="1">
      <rpv i="0">_-[$R$-pt-BR] * #,##0.00_-;-[$R$-pt-BR] * #,##0.00_-;_-[$R$-pt-BR] * "-"??_-;_-@_-</rpv>
    </rSty>
    <rSty>
      <rpv i="1">1</rpv>
    </rSty>
    <rSty dxfid="3"/>
    <rSty dxfid="0">
      <rpv i="0">0.00</rpv>
    </rSty>
    <rSty dxfid="2"/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3AAAF6-0010-45E5-8597-F37C2EB3A119}" name="Tabela7" displayName="Tabela7" ref="A2:I10" totalsRowShown="0" headerRowDxfId="81" dataDxfId="91">
  <autoFilter ref="A2:I10" xr:uid="{6E50736B-08B2-4184-BA71-753182C35A01}"/>
  <tableColumns count="9">
    <tableColumn id="1" xr3:uid="{11E2E542-6E43-4902-BE58-7B1427FA1388}" name="Codigo" dataDxfId="100"/>
    <tableColumn id="2" xr3:uid="{F00188CB-3432-4677-9332-D95174B001CD}" name="Produto" dataDxfId="99"/>
    <tableColumn id="3" xr3:uid="{6EA9244A-DD75-486E-B7C5-A7B8F91D94ED}" name="Jan" dataDxfId="98"/>
    <tableColumn id="4" xr3:uid="{36837FAF-C0D7-4238-8A9B-3AA7CD5F2573}" name="Fev" dataDxfId="97"/>
    <tableColumn id="5" xr3:uid="{0AD7D0D8-2002-45EB-8379-1B517238895F}" name="Mar" dataDxfId="96"/>
    <tableColumn id="6" xr3:uid="{4FF0422C-6C50-47EE-A01A-67027030A2A2}" name="Total 1º Trimestre" dataDxfId="95">
      <calculatedColumnFormula>SUM(C3:E3)</calculatedColumnFormula>
    </tableColumn>
    <tableColumn id="7" xr3:uid="{FBD732A5-38B1-4EC0-9FA6-C05A99025555}" name="Máximo" dataDxfId="94">
      <calculatedColumnFormula>LARGE(C3:E3,1)</calculatedColumnFormula>
    </tableColumn>
    <tableColumn id="8" xr3:uid="{A89D89CB-201A-46A3-8C1E-6E39FA404945}" name="Mínimo" dataDxfId="93">
      <calculatedColumnFormula>SMALL(C3:E3,1)</calculatedColumnFormula>
    </tableColumn>
    <tableColumn id="9" xr3:uid="{0EE036A5-AC3A-4D9C-84F4-5BBA968A6A10}" name="Média" dataDxfId="92">
      <calculatedColumnFormula>AVERAGE(C3:E3)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E32764-F8AA-4E2A-ADE0-243EEE1CAB54}" name="Tabela9" displayName="Tabela9" ref="A13:I23" totalsRowShown="0" headerRowDxfId="80" dataDxfId="82">
  <autoFilter ref="A13:I23" xr:uid="{EB178808-3F72-42A4-A26F-A52E7361D0CB}"/>
  <tableColumns count="9">
    <tableColumn id="1" xr3:uid="{C94DFBA4-B3FE-49F8-8857-7DE3D4AB0057}" name="Código" dataDxfId="90"/>
    <tableColumn id="2" xr3:uid="{F3B8D94F-90FD-4E39-AA27-90E8A5E0B9EE}" name="Produto" dataDxfId="89"/>
    <tableColumn id="3" xr3:uid="{3027A7D9-0454-4EC0-973E-921F7904D207}" name="Abr"/>
    <tableColumn id="4" xr3:uid="{4E35D648-8046-4E8F-8565-E98B515D86A5}" name="Mai" dataDxfId="88"/>
    <tableColumn id="5" xr3:uid="{8C54D412-FF1F-450B-8892-A3FB5B4E2076}" name="Jun" dataDxfId="87"/>
    <tableColumn id="6" xr3:uid="{5D74D655-8021-4380-83FC-9E8705E888B5}" name="Coluna1" dataDxfId="86"/>
    <tableColumn id="7" xr3:uid="{E98F8280-3069-4CDE-A73A-7D182B5CE539}" name="Coluna2" dataDxfId="85"/>
    <tableColumn id="8" xr3:uid="{929C8C59-47AD-4171-BB4E-10852A5EB409}" name="Coluna3" dataDxfId="84"/>
    <tableColumn id="9" xr3:uid="{52EE5BFC-3BAA-42EF-AD2F-9E96D8897449}" name="Coluna4" dataDxfId="83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64269B1-3783-45B3-9BF6-94194F7F2475}" name="Tabela11" displayName="Tabela11" ref="A28:G42" totalsRowShown="0" headerRowDxfId="78">
  <autoFilter ref="A28:G42" xr:uid="{DE03FB30-AC60-4986-9FD8-BDEF1C7CD23F}"/>
  <tableColumns count="7">
    <tableColumn id="1" xr3:uid="{086DCD90-69B8-44BD-8CF8-EE78FE4AFD26}" name="Coluna1" dataDxfId="79"/>
    <tableColumn id="2" xr3:uid="{B9349268-CFEB-4030-BB3E-9730C4DE6E33}" name="JANEIRO"/>
    <tableColumn id="3" xr3:uid="{3057E29A-9191-42EE-BE34-5A81E1F6DAD6}" name="FEVEREIRO"/>
    <tableColumn id="4" xr3:uid="{E539BEE1-B7F8-455D-A403-9C9DBD667307}" name="MARÇO"/>
    <tableColumn id="5" xr3:uid="{BE8737C4-DA8A-4549-8D44-99023FB2B981}" name="ABRIL"/>
    <tableColumn id="6" xr3:uid="{397945C0-E122-4A1A-8338-016FA4EA9337}" name="MAIO"/>
    <tableColumn id="7" xr3:uid="{002CEBAA-918C-4DD0-A27C-302530852578}" name="JUNHO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EDA0DFC-5B60-42F4-9588-373FA836D9F6}" name="Tabela12" displayName="Tabela12" ref="A48:H56" totalsRowShown="0" headerRowDxfId="68" dataDxfId="69">
  <autoFilter ref="A48:H56" xr:uid="{2011558D-3DE6-4490-8C7F-DC936FB83C04}"/>
  <tableColumns count="8">
    <tableColumn id="1" xr3:uid="{DCB413AE-7812-4F65-A82C-D900283714FA}" name="Nº" dataDxfId="77"/>
    <tableColumn id="2" xr3:uid="{BF3EEAB0-7870-4545-8DCE-8BAFB5FB5CAE}" name="NOME" dataDxfId="76"/>
    <tableColumn id="3" xr3:uid="{BFDD1E81-DED4-431F-8EBA-04FC6C9DEB82}" name="Salário Bruto" dataDxfId="75"/>
    <tableColumn id="4" xr3:uid="{FEF31D8C-840B-42C5-8D93-D1BFFD7E09D5}" name="INSS" dataDxfId="74"/>
    <tableColumn id="5" xr3:uid="{64F52EA2-B6A1-4287-B1DD-A716D1898221}" name="Gratificação" dataDxfId="73"/>
    <tableColumn id="6" xr3:uid="{AD3A4AC7-966C-4841-8C20-4FBFA9042576}" name="INSS R$" dataDxfId="72">
      <calculatedColumnFormula>C49*D49</calculatedColumnFormula>
    </tableColumn>
    <tableColumn id="7" xr3:uid="{3073DEC9-5CE0-4B50-92A3-6F79551FD322}" name="Gratificação R$" dataDxfId="71">
      <calculatedColumnFormula>C49*E49</calculatedColumnFormula>
    </tableColumn>
    <tableColumn id="8" xr3:uid="{8E53F225-FE24-4EC1-99F1-96639A699144}" name="Salário Liquido" dataDxfId="70">
      <calculatedColumnFormula>(C49+G49)-F49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E2F360-000D-433F-83F2-B014C9D79FCD}" name="Tabela13" displayName="Tabela13" ref="A63:E70" totalsRowShown="0" headerRowDxfId="62">
  <autoFilter ref="A63:E70" xr:uid="{D8DE6F35-6AF5-4B2F-9453-91F2D81A4DD1}"/>
  <tableColumns count="5">
    <tableColumn id="1" xr3:uid="{36D528E8-A3C9-488B-8F6F-37AFC6B0D048}" name="Produtos" dataDxfId="67"/>
    <tableColumn id="2" xr3:uid="{C9E63850-B083-41CA-B41A-9B223A45E33E}" name="Qtde" dataDxfId="66"/>
    <tableColumn id="3" xr3:uid="{F234D174-29E0-4D76-8CB6-0E4A63946450}" name="Preço Unitario" dataDxfId="65"/>
    <tableColumn id="4" xr3:uid="{9FAEC0E1-9854-4D5C-BE40-A594A9B8BBD6}" name="Total R$" dataDxfId="64">
      <calculatedColumnFormula>B64*C64</calculatedColumnFormula>
    </tableColumn>
    <tableColumn id="5" xr3:uid="{94B98B72-37AB-4EC2-B6C1-860E6DC479EE}" name="Total US$" dataDxfId="63">
      <calculatedColumnFormula>D64/$B$61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C2C0AAB-36FB-4549-879D-F1C881F36B5E}" name="Tabela15" displayName="Tabela15" ref="A80:D88" totalsRowShown="0" headerRowDxfId="58" dataDxfId="59">
  <autoFilter ref="A80:D88" xr:uid="{D7D9B736-917E-4202-A116-DD53C41D53DF}"/>
  <tableColumns count="4">
    <tableColumn id="1" xr3:uid="{2A031186-696E-421B-9667-EEDF989AE718}" name="Nome" dataDxfId="61"/>
    <tableColumn id="2" xr3:uid="{36721E40-5C9E-4B0C-BCB6-FD644EC5A7C2}" name="Salário" dataDxfId="60"/>
    <tableColumn id="3" xr3:uid="{51367391-CC83-46E9-84AF-82BF999237B4}" name="Aumento" dataDxfId="57">
      <calculatedColumnFormula>IF(Tabela15[[#This Row],[Salário]]&lt;=1000,B81*0.4,B81*0.3)</calculatedColumnFormula>
    </tableColumn>
    <tableColumn id="4" xr3:uid="{8F1F4A5B-1230-48A7-9A70-226D1013ACC4}" name="Novo Salário" dataDxfId="56">
      <calculatedColumnFormula>Tabela15[[#This Row],[Salário]]+Tabela15[[#This Row],[Aumento]]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36192F-420F-4670-BC57-43D550A457D2}" name="Tabela16" displayName="Tabela16" ref="A95:F109" totalsRowShown="0" headerRowDxfId="49" dataDxfId="50">
  <autoFilter ref="A95:F109" xr:uid="{9DEFFA2F-B835-4751-899E-CF1A091C4953}"/>
  <tableColumns count="6">
    <tableColumn id="1" xr3:uid="{E75F33CC-2791-462B-8C0C-1EF4B7A53E23}" name="Receita Bruta" dataDxfId="55"/>
    <tableColumn id="2" xr3:uid="{6059B151-C4A2-4B3A-B01E-715FFC37B2BD}" name="Jan-Mar" dataDxfId="54"/>
    <tableColumn id="3" xr3:uid="{7D86B8F4-E832-422D-B091-3903FDF8A3F3}" name="Abr-Jun" dataDxfId="53"/>
    <tableColumn id="4" xr3:uid="{2225D5CB-E523-45F9-B5A1-990F90C6B81B}" name="Jul-Set" dataDxfId="52"/>
    <tableColumn id="5" xr3:uid="{46976531-BCCC-482B-AE2A-3B2C1CDD5646}" name="Out-Dez"/>
    <tableColumn id="6" xr3:uid="{4CE98AEA-F718-4E3F-9F4C-044F857B4149}" name="Total do Ano" dataDxfId="51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3273312-CBFD-491A-B1FC-71DA027AE094}" name="Tabela17" displayName="Tabela17" ref="A115:H122" headerRowCount="0" totalsRowShown="0" headerRowDxfId="39" dataDxfId="40">
  <tableColumns count="8">
    <tableColumn id="1" xr3:uid="{4D2CA379-619A-437D-AFF7-F675084B35ED}" name="Coluna1" headerRowDxfId="31" dataDxfId="48"/>
    <tableColumn id="2" xr3:uid="{D7ECA5BC-E1DD-4FFA-8C1A-B345C71A4CA3}" name="Coluna2" headerRowDxfId="32" dataDxfId="47"/>
    <tableColumn id="3" xr3:uid="{E814700A-5D48-43C5-A226-F2620CD78B87}" name="Coluna3" headerRowDxfId="33" dataDxfId="46"/>
    <tableColumn id="4" xr3:uid="{97DB17AE-D094-451C-A6C0-51401A9D6948}" name="Coluna4" headerRowDxfId="34" dataDxfId="45"/>
    <tableColumn id="5" xr3:uid="{C5DE6C8B-203E-4E05-865E-3A767749B5DF}" name="Coluna5" headerRowDxfId="35" dataDxfId="44"/>
    <tableColumn id="6" xr3:uid="{AD8DFCBE-AFDA-4C59-A215-0C02368FEF9D}" name="Coluna6" headerRowDxfId="36" dataDxfId="43"/>
    <tableColumn id="7" xr3:uid="{18A56952-2D81-4C08-9686-B7DA97832215}" name="Coluna7" headerRowDxfId="37" dataDxfId="42"/>
    <tableColumn id="8" xr3:uid="{37B48E8D-493C-46C3-A366-4449C3393AB8}" name="Coluna8" headerRowDxfId="38" dataDxfId="41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4AF1991-E637-4199-87C2-B63F3CB0C0AB}" name="Tabela18" displayName="Tabela18" ref="A127:E142" totalsRowShown="0" headerRowDxfId="24" dataDxfId="25">
  <autoFilter ref="A127:E142" xr:uid="{9F9ADB59-225E-4D6A-A787-6A2708606D94}"/>
  <tableColumns count="5">
    <tableColumn id="1" xr3:uid="{054E8F23-79C3-4E04-9A4C-52EAE4F6BBC4}" name="Nome" dataDxfId="30"/>
    <tableColumn id="2" xr3:uid="{F307743E-DACB-4AF4-9E4F-28AB40256D75}" name="Endereço" dataDxfId="29"/>
    <tableColumn id="3" xr3:uid="{689C7EB9-89EA-4833-B37B-362F5486E09A}" name="Bairro" dataDxfId="28"/>
    <tableColumn id="4" xr3:uid="{7A48343A-0D9A-4251-8307-977D69165239}" name="Cidade" dataDxfId="27"/>
    <tableColumn id="5" xr3:uid="{8D6711A0-5976-456C-9FED-841B86574E77}" name="Estado" dataDxfId="26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9A02C64-A816-45D3-B290-43E0D56ECA33}" name="Tabela19" displayName="Tabela19" ref="A146:B150" headerRowCount="0" totalsRowShown="0" headerRowDxfId="20" dataDxfId="21">
  <tableColumns count="2">
    <tableColumn id="1" xr3:uid="{0E2EAF8F-2DC5-49F4-8AD4-996F5DBCB333}" name="Coluna1" headerRowDxfId="18" dataDxfId="23"/>
    <tableColumn id="2" xr3:uid="{E91B187B-954F-4EE6-8047-42770171E7A4}" name="Coluna2" headerRowDxfId="19" dataDxfId="22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9E8B2C8-9E3A-4A6E-9BE3-69D0BAB45D3A}" name="Tabela20" displayName="Tabela20" ref="A161:H173" headerRowCount="0" totalsRowShown="0" headerRowDxfId="8" dataDxfId="9">
  <tableColumns count="8">
    <tableColumn id="1" xr3:uid="{4F5FD49A-F5D0-474C-A56F-4BC0AA97AC5D}" name="Coluna1" headerRowDxfId="0" dataDxfId="17"/>
    <tableColumn id="2" xr3:uid="{8EFCAB79-B063-430A-B884-659591D318CD}" name="Coluna2" headerRowDxfId="1" dataDxfId="16"/>
    <tableColumn id="3" xr3:uid="{81AF92A9-D89B-48C4-B9B0-7DE883E821DB}" name="Coluna3" headerRowDxfId="2" dataDxfId="15"/>
    <tableColumn id="4" xr3:uid="{3D20A64C-8D9B-4ACF-ABD0-E49150EC8689}" name="Coluna4" headerRowDxfId="3" dataDxfId="14"/>
    <tableColumn id="5" xr3:uid="{3C9D4249-2AE4-45B8-A302-B7691CDB9822}" name="Coluna5" headerRowDxfId="4" dataDxfId="13"/>
    <tableColumn id="6" xr3:uid="{FE3EDA52-EE99-4B21-A711-BA1430B74BA8}" name="Coluna6" headerRowDxfId="5" dataDxfId="12"/>
    <tableColumn id="7" xr3:uid="{7784DAB8-991F-4F52-BDD7-B50D9580652C}" name="Coluna7" headerRowDxfId="6" dataDxfId="11"/>
    <tableColumn id="8" xr3:uid="{FD7ACF05-A142-45A9-96A4-E679D49FC3EE}" name="Coluna8" headerRowDxfId="7" dataDxfId="10"/>
  </tableColumns>
  <tableStyleInfo name="TableStyleMedium15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rdósia">
  <a:themeElements>
    <a:clrScheme name="Ardósia">
      <a:dk1>
        <a:sysClr val="windowText" lastClr="000000"/>
      </a:dk1>
      <a:lt1>
        <a:sysClr val="window" lastClr="FFFFFF"/>
      </a:lt1>
      <a:dk2>
        <a:srgbClr val="212123"/>
      </a:dk2>
      <a:lt2>
        <a:srgbClr val="DADADA"/>
      </a:lt2>
      <a:accent1>
        <a:srgbClr val="BC451B"/>
      </a:accent1>
      <a:accent2>
        <a:srgbClr val="D3BA68"/>
      </a:accent2>
      <a:accent3>
        <a:srgbClr val="BB8640"/>
      </a:accent3>
      <a:accent4>
        <a:srgbClr val="AD9277"/>
      </a:accent4>
      <a:accent5>
        <a:srgbClr val="A55A43"/>
      </a:accent5>
      <a:accent6>
        <a:srgbClr val="AD9D7B"/>
      </a:accent6>
      <a:hlink>
        <a:srgbClr val="E98052"/>
      </a:hlink>
      <a:folHlink>
        <a:srgbClr val="F4B69B"/>
      </a:folHlink>
    </a:clrScheme>
    <a:fontScheme name="Ardósia">
      <a:majorFont>
        <a:latin typeface="Calisto MT" panose="02040603050505030304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listo MT" panose="02040603050505030304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rdósia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10000"/>
              </a:schemeClr>
            </a:gs>
            <a:gs pos="100000">
              <a:schemeClr val="phClr">
                <a:tint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90000"/>
                <a:lumMod val="90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shade val="9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63500" dist="25400" dir="5400000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a:effectStyle>
      </a:effectStyleLst>
      <a:bgFillStyleLst>
        <a:solidFill>
          <a:schemeClr val="phClr"/>
        </a:solidFill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shade val="80000"/>
                <a:lumMod val="80000"/>
              </a:schemeClr>
              <a:schemeClr val="phClr">
                <a:tint val="98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ate" id="{C3F70B94-7CE9-428E-ADC1-3269CC2C3385}" vid="{3F2DE9A5-64E6-437C-A389-CC4477E817E8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C5370-771E-41FA-814A-18722D5D777B}">
  <sheetPr codeName="Planilha1">
    <tabColor rgb="FF00B0F0"/>
  </sheetPr>
  <dimension ref="A1:Z1000"/>
  <sheetViews>
    <sheetView topLeftCell="A154" workbookViewId="0">
      <selection activeCell="C186" sqref="C186"/>
    </sheetView>
  </sheetViews>
  <sheetFormatPr defaultRowHeight="14.25" x14ac:dyDescent="0.2"/>
  <cols>
    <col min="1" max="1" width="16.125" style="5" customWidth="1"/>
    <col min="2" max="2" width="22" style="5" customWidth="1"/>
    <col min="3" max="3" width="17.875" style="5" customWidth="1"/>
    <col min="4" max="4" width="19.375" style="5" customWidth="1"/>
    <col min="5" max="5" width="17.875" style="5" bestFit="1" customWidth="1"/>
    <col min="6" max="6" width="18.375" style="5" bestFit="1" customWidth="1"/>
    <col min="7" max="7" width="16.125" style="5" customWidth="1"/>
    <col min="8" max="8" width="15.625" style="5" bestFit="1" customWidth="1"/>
    <col min="9" max="9" width="10.625" style="5" bestFit="1" customWidth="1"/>
    <col min="10" max="16384" width="9" style="5"/>
  </cols>
  <sheetData>
    <row r="1" spans="1:26" ht="18" x14ac:dyDescent="0.2">
      <c r="A1" s="3">
        <v>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">
      <c r="A2" s="18" t="s">
        <v>0</v>
      </c>
      <c r="B2" s="18" t="s">
        <v>1</v>
      </c>
      <c r="C2" s="18" t="s">
        <v>2</v>
      </c>
      <c r="D2" s="18" t="s">
        <v>3</v>
      </c>
      <c r="E2" s="18" t="s">
        <v>4</v>
      </c>
      <c r="F2" s="18" t="s">
        <v>5</v>
      </c>
      <c r="G2" s="18" t="s">
        <v>6</v>
      </c>
      <c r="H2" s="18" t="s">
        <v>7</v>
      </c>
      <c r="I2" s="18" t="s">
        <v>8</v>
      </c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">
      <c r="A3" s="17">
        <v>1</v>
      </c>
      <c r="B3" s="4" t="s">
        <v>9</v>
      </c>
      <c r="C3" s="8">
        <v>4500</v>
      </c>
      <c r="D3" s="8">
        <v>5040</v>
      </c>
      <c r="E3" s="8">
        <v>5696</v>
      </c>
      <c r="F3" s="9">
        <f>SUM(C3:E3)</f>
        <v>15236</v>
      </c>
      <c r="G3" s="9">
        <f>LARGE(C3:E3,1)</f>
        <v>5696</v>
      </c>
      <c r="H3" s="9">
        <f>SMALL(C3:E3,1)</f>
        <v>4500</v>
      </c>
      <c r="I3" s="9">
        <f>AVERAGE(C3:E3)</f>
        <v>5078.666666666667</v>
      </c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">
      <c r="A4" s="17">
        <v>2</v>
      </c>
      <c r="B4" s="4" t="s">
        <v>10</v>
      </c>
      <c r="C4" s="8">
        <v>6250</v>
      </c>
      <c r="D4" s="8">
        <v>7000</v>
      </c>
      <c r="E4" s="8">
        <v>7910</v>
      </c>
      <c r="F4" s="9">
        <f t="shared" ref="F4:F8" si="0">SUM(C4:E4)</f>
        <v>21160</v>
      </c>
      <c r="G4" s="9">
        <f t="shared" ref="G4:G8" si="1">LARGE(C4:E4,1)</f>
        <v>7910</v>
      </c>
      <c r="H4" s="9">
        <f t="shared" ref="H4:H8" si="2">SMALL(C4:E4,1)</f>
        <v>6250</v>
      </c>
      <c r="I4" s="9">
        <f t="shared" ref="I4:I8" si="3">AVERAGE(C4:E4)</f>
        <v>7053.333333333333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">
      <c r="A5" s="17">
        <v>3</v>
      </c>
      <c r="B5" s="4" t="s">
        <v>11</v>
      </c>
      <c r="C5" s="8">
        <v>3300</v>
      </c>
      <c r="D5" s="8">
        <v>3696</v>
      </c>
      <c r="E5" s="8">
        <v>4176</v>
      </c>
      <c r="F5" s="9">
        <f t="shared" si="0"/>
        <v>11172</v>
      </c>
      <c r="G5" s="9">
        <f t="shared" si="1"/>
        <v>4176</v>
      </c>
      <c r="H5" s="9">
        <f t="shared" si="2"/>
        <v>3300</v>
      </c>
      <c r="I5" s="9">
        <f t="shared" si="3"/>
        <v>3724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x14ac:dyDescent="0.2">
      <c r="A6" s="17">
        <v>4</v>
      </c>
      <c r="B6" s="4" t="s">
        <v>12</v>
      </c>
      <c r="C6" s="8">
        <v>8000</v>
      </c>
      <c r="D6" s="8">
        <v>8690</v>
      </c>
      <c r="E6" s="8">
        <v>10125</v>
      </c>
      <c r="F6" s="9">
        <f t="shared" si="0"/>
        <v>26815</v>
      </c>
      <c r="G6" s="9">
        <f t="shared" si="1"/>
        <v>10125</v>
      </c>
      <c r="H6" s="9">
        <f t="shared" si="2"/>
        <v>8000</v>
      </c>
      <c r="I6" s="9">
        <f t="shared" si="3"/>
        <v>8938.3333333333339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x14ac:dyDescent="0.2">
      <c r="A7" s="17">
        <v>5</v>
      </c>
      <c r="B7" s="4" t="s">
        <v>13</v>
      </c>
      <c r="C7" s="8">
        <v>4557</v>
      </c>
      <c r="D7" s="8">
        <v>5104</v>
      </c>
      <c r="E7" s="8">
        <v>5676</v>
      </c>
      <c r="F7" s="9">
        <f t="shared" si="0"/>
        <v>15337</v>
      </c>
      <c r="G7" s="9">
        <f t="shared" si="1"/>
        <v>5676</v>
      </c>
      <c r="H7" s="9">
        <f t="shared" si="2"/>
        <v>4557</v>
      </c>
      <c r="I7" s="9">
        <f t="shared" si="3"/>
        <v>5112.333333333333</v>
      </c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x14ac:dyDescent="0.2">
      <c r="A8" s="17">
        <v>6</v>
      </c>
      <c r="B8" s="4" t="s">
        <v>14</v>
      </c>
      <c r="C8" s="8">
        <v>3260</v>
      </c>
      <c r="D8" s="8">
        <v>3640</v>
      </c>
      <c r="E8" s="8">
        <v>4113</v>
      </c>
      <c r="F8" s="9">
        <f t="shared" si="0"/>
        <v>11013</v>
      </c>
      <c r="G8" s="9">
        <f t="shared" si="1"/>
        <v>4113</v>
      </c>
      <c r="H8" s="9">
        <f t="shared" si="2"/>
        <v>3260</v>
      </c>
      <c r="I8" s="9">
        <f t="shared" si="3"/>
        <v>3671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x14ac:dyDescent="0.2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</row>
    <row r="10" spans="1:26" x14ac:dyDescent="0.2">
      <c r="A10" s="4"/>
      <c r="B10" s="6" t="s">
        <v>15</v>
      </c>
      <c r="C10" s="10">
        <f>SUM(C3:C8)</f>
        <v>29867</v>
      </c>
      <c r="D10" s="10">
        <f>SUM(D3:D8)</f>
        <v>33170</v>
      </c>
      <c r="E10" s="10">
        <f>SUM(E3:E8)</f>
        <v>37696</v>
      </c>
      <c r="F10" s="10">
        <f>SUM(C10:E10)</f>
        <v>100733</v>
      </c>
      <c r="G10" s="4">
        <f>LARGE(C10:E10,1)</f>
        <v>37696</v>
      </c>
      <c r="H10" s="4">
        <f>SMALL(C10:E10,1)</f>
        <v>29867</v>
      </c>
      <c r="I10" s="10">
        <f>AVERAGE(C10:E10)</f>
        <v>33577.666666666664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</row>
    <row r="12" spans="1:26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</row>
    <row r="13" spans="1:26" x14ac:dyDescent="0.2">
      <c r="A13" s="18" t="s">
        <v>16</v>
      </c>
      <c r="B13" s="18" t="s">
        <v>1</v>
      </c>
      <c r="C13" s="18" t="s">
        <v>17</v>
      </c>
      <c r="D13" s="18" t="s">
        <v>18</v>
      </c>
      <c r="E13" s="18" t="s">
        <v>19</v>
      </c>
      <c r="F13" s="19" t="s">
        <v>195</v>
      </c>
      <c r="G13" s="19" t="s">
        <v>196</v>
      </c>
      <c r="H13" s="19" t="s">
        <v>197</v>
      </c>
      <c r="I13" s="19" t="s">
        <v>198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</row>
    <row r="14" spans="1:26" x14ac:dyDescent="0.2">
      <c r="A14" s="17">
        <v>1</v>
      </c>
      <c r="B14" s="4" t="s">
        <v>9</v>
      </c>
      <c r="C14" s="11">
        <v>6265</v>
      </c>
      <c r="D14" s="11">
        <v>6954</v>
      </c>
      <c r="E14" s="11">
        <v>7858</v>
      </c>
      <c r="F14" s="10">
        <f>SUM(C14:E14)</f>
        <v>21077</v>
      </c>
      <c r="G14" s="4">
        <f>LARGE(C14:E14,1)</f>
        <v>7858</v>
      </c>
      <c r="H14" s="4">
        <f>SMALL(C14:E14,1)</f>
        <v>6265</v>
      </c>
      <c r="I14" s="10">
        <f>AVERAGE(C14:E14)</f>
        <v>7025.666666666667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">
      <c r="A15" s="17">
        <v>2</v>
      </c>
      <c r="B15" s="4" t="s">
        <v>10</v>
      </c>
      <c r="C15" s="11">
        <v>8701</v>
      </c>
      <c r="D15" s="11">
        <v>9658</v>
      </c>
      <c r="E15" s="11">
        <v>10197</v>
      </c>
      <c r="F15" s="10">
        <f>SUM(C15:E15)</f>
        <v>28556</v>
      </c>
      <c r="G15" s="4">
        <f>LARGE(C15:E15,1)</f>
        <v>10197</v>
      </c>
      <c r="H15" s="4">
        <f>SMALL(C15:E15,1)</f>
        <v>8701</v>
      </c>
      <c r="I15" s="10">
        <f>AVERAGE(C15:E15)</f>
        <v>9518.6666666666661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">
      <c r="A16" s="17">
        <v>3</v>
      </c>
      <c r="B16" s="4" t="s">
        <v>11</v>
      </c>
      <c r="C16" s="11">
        <v>4569</v>
      </c>
      <c r="D16" s="11">
        <v>5099</v>
      </c>
      <c r="E16" s="11">
        <v>5769</v>
      </c>
      <c r="F16" s="10">
        <f>SUM(C16:E16)</f>
        <v>15437</v>
      </c>
      <c r="G16" s="4">
        <f>LARGE(C16:E16,1)</f>
        <v>5769</v>
      </c>
      <c r="H16" s="4">
        <f>SMALL(C16:E16,1)</f>
        <v>4569</v>
      </c>
      <c r="I16" s="10">
        <f>AVERAGE(C16:E16)</f>
        <v>5145.666666666667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">
      <c r="A17" s="17">
        <v>4</v>
      </c>
      <c r="B17" s="4" t="s">
        <v>12</v>
      </c>
      <c r="C17" s="11">
        <v>12341</v>
      </c>
      <c r="D17" s="11">
        <v>12365</v>
      </c>
      <c r="E17" s="11">
        <v>13969</v>
      </c>
      <c r="F17" s="10">
        <f>SUM(C17:E17)</f>
        <v>38675</v>
      </c>
      <c r="G17" s="4">
        <f>LARGE(C17:E17,1)</f>
        <v>13969</v>
      </c>
      <c r="H17" s="4">
        <f>SMALL(C17:E17,1)</f>
        <v>12341</v>
      </c>
      <c r="I17" s="10">
        <f>AVERAGE(C17:E17)</f>
        <v>12891.666666666666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">
      <c r="A18" s="17">
        <v>5</v>
      </c>
      <c r="B18" s="4" t="s">
        <v>13</v>
      </c>
      <c r="C18" s="11">
        <v>6344</v>
      </c>
      <c r="D18" s="11">
        <v>7042</v>
      </c>
      <c r="E18" s="11">
        <v>7957</v>
      </c>
      <c r="F18" s="10">
        <f>SUM(C18:E18)</f>
        <v>21343</v>
      </c>
      <c r="G18" s="4">
        <f>LARGE(C18:E18,1)</f>
        <v>7957</v>
      </c>
      <c r="H18" s="4">
        <f>SMALL(C18:E18,1)</f>
        <v>6344</v>
      </c>
      <c r="I18" s="10">
        <f>AVERAGE(C18:E18)</f>
        <v>7114.333333333333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x14ac:dyDescent="0.2">
      <c r="A19" s="17">
        <v>6</v>
      </c>
      <c r="B19" s="4" t="s">
        <v>14</v>
      </c>
      <c r="C19" s="11">
        <v>4525</v>
      </c>
      <c r="D19" s="11">
        <v>5022</v>
      </c>
      <c r="E19" s="11">
        <v>5671</v>
      </c>
      <c r="F19" s="10">
        <f>SUM(C19:E19)</f>
        <v>15218</v>
      </c>
      <c r="G19" s="4">
        <f>LARGE(C19:E19,1)</f>
        <v>5671</v>
      </c>
      <c r="H19" s="4">
        <f>SMALL(C19:E19,1)</f>
        <v>4525</v>
      </c>
      <c r="I19" s="10">
        <f>AVERAGE(C19:E19)</f>
        <v>5072.666666666667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">
      <c r="A21" s="4"/>
      <c r="B21" s="6" t="s">
        <v>15</v>
      </c>
      <c r="C21" s="10">
        <f>SUM(C14:C19)</f>
        <v>42745</v>
      </c>
      <c r="D21" s="10">
        <f>SUM(D14:D19)</f>
        <v>46140</v>
      </c>
      <c r="E21" s="10">
        <f>SUM(E14:E19)</f>
        <v>51421</v>
      </c>
      <c r="F21" s="10">
        <f>SUM(F14:F19)</f>
        <v>140306</v>
      </c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x14ac:dyDescent="0.2">
      <c r="A23" s="4"/>
      <c r="B23" s="6" t="s">
        <v>20</v>
      </c>
      <c r="C23" s="20">
        <f>SUM(F10,F21)</f>
        <v>241039</v>
      </c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x14ac:dyDescent="0.2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x14ac:dyDescent="0.2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thickBot="1" x14ac:dyDescent="0.25">
      <c r="A26" s="3">
        <v>2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" thickBot="1" x14ac:dyDescent="0.25">
      <c r="A27" s="21"/>
      <c r="B27" s="22"/>
      <c r="C27" s="22"/>
      <c r="D27" s="23" t="s">
        <v>21</v>
      </c>
      <c r="E27" s="23"/>
      <c r="F27" s="22"/>
      <c r="G27" s="2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x14ac:dyDescent="0.2">
      <c r="A28" s="19" t="s">
        <v>195</v>
      </c>
      <c r="B28" s="18" t="s">
        <v>22</v>
      </c>
      <c r="C28" s="18" t="s">
        <v>23</v>
      </c>
      <c r="D28" s="18" t="s">
        <v>24</v>
      </c>
      <c r="E28" s="18" t="s">
        <v>25</v>
      </c>
      <c r="F28" s="18" t="s">
        <v>26</v>
      </c>
      <c r="G28" s="18" t="s">
        <v>27</v>
      </c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x14ac:dyDescent="0.2">
      <c r="A29" s="6" t="s">
        <v>28</v>
      </c>
      <c r="B29" s="13">
        <v>500</v>
      </c>
      <c r="C29" s="13">
        <v>750</v>
      </c>
      <c r="D29" s="13">
        <v>800</v>
      </c>
      <c r="E29" s="13">
        <v>700</v>
      </c>
      <c r="F29" s="13">
        <v>654</v>
      </c>
      <c r="G29" s="13">
        <v>700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x14ac:dyDescent="0.2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x14ac:dyDescent="0.2">
      <c r="A31" s="6" t="s">
        <v>21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x14ac:dyDescent="0.2">
      <c r="A32" s="6" t="s">
        <v>29</v>
      </c>
      <c r="B32" s="13">
        <v>10</v>
      </c>
      <c r="C32" s="13">
        <v>15</v>
      </c>
      <c r="D32" s="13">
        <v>15</v>
      </c>
      <c r="E32" s="13">
        <v>12</v>
      </c>
      <c r="F32" s="13">
        <v>12</v>
      </c>
      <c r="G32" s="13">
        <v>11</v>
      </c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x14ac:dyDescent="0.2">
      <c r="A33" s="6" t="s">
        <v>30</v>
      </c>
      <c r="B33" s="13">
        <v>50</v>
      </c>
      <c r="C33" s="13">
        <v>60</v>
      </c>
      <c r="D33" s="13">
        <v>54</v>
      </c>
      <c r="E33" s="13">
        <v>55</v>
      </c>
      <c r="F33" s="13">
        <v>54</v>
      </c>
      <c r="G33" s="13">
        <v>56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x14ac:dyDescent="0.2">
      <c r="A34" s="6" t="s">
        <v>31</v>
      </c>
      <c r="B34" s="13">
        <v>300</v>
      </c>
      <c r="C34" s="13">
        <v>250</v>
      </c>
      <c r="D34" s="13">
        <v>300</v>
      </c>
      <c r="E34" s="13">
        <v>300</v>
      </c>
      <c r="F34" s="13">
        <v>200</v>
      </c>
      <c r="G34" s="13">
        <v>200</v>
      </c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x14ac:dyDescent="0.2">
      <c r="A35" s="6" t="s">
        <v>32</v>
      </c>
      <c r="B35" s="13">
        <v>40</v>
      </c>
      <c r="C35" s="13">
        <v>40</v>
      </c>
      <c r="D35" s="13">
        <v>40</v>
      </c>
      <c r="E35" s="13">
        <v>40</v>
      </c>
      <c r="F35" s="13">
        <v>40</v>
      </c>
      <c r="G35" s="13">
        <v>40</v>
      </c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x14ac:dyDescent="0.2">
      <c r="A36" s="6" t="s">
        <v>33</v>
      </c>
      <c r="B36" s="13">
        <v>10</v>
      </c>
      <c r="C36" s="13">
        <v>15</v>
      </c>
      <c r="D36" s="13">
        <v>14</v>
      </c>
      <c r="E36" s="13">
        <v>15</v>
      </c>
      <c r="F36" s="13">
        <v>20</v>
      </c>
      <c r="G36" s="13">
        <v>31</v>
      </c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x14ac:dyDescent="0.2">
      <c r="A37" s="6" t="s">
        <v>34</v>
      </c>
      <c r="B37" s="13">
        <v>120</v>
      </c>
      <c r="C37" s="13">
        <v>150</v>
      </c>
      <c r="D37" s="13">
        <v>130</v>
      </c>
      <c r="E37" s="13">
        <v>200</v>
      </c>
      <c r="F37" s="13">
        <v>150</v>
      </c>
      <c r="G37" s="13">
        <v>190</v>
      </c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8.5" x14ac:dyDescent="0.2">
      <c r="A38" s="6" t="s">
        <v>35</v>
      </c>
      <c r="B38" s="13">
        <v>50</v>
      </c>
      <c r="C38" s="13">
        <v>60</v>
      </c>
      <c r="D38" s="13">
        <v>65</v>
      </c>
      <c r="E38" s="13">
        <v>70</v>
      </c>
      <c r="F38" s="13">
        <v>65</v>
      </c>
      <c r="G38" s="13">
        <v>85</v>
      </c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x14ac:dyDescent="0.2">
      <c r="A39" s="6" t="s">
        <v>36</v>
      </c>
      <c r="B39" s="13">
        <v>145</v>
      </c>
      <c r="C39" s="13">
        <v>145</v>
      </c>
      <c r="D39" s="13">
        <v>145</v>
      </c>
      <c r="E39" s="13">
        <v>145</v>
      </c>
      <c r="F39" s="13">
        <v>100</v>
      </c>
      <c r="G39" s="13">
        <v>145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x14ac:dyDescent="0.2">
      <c r="A41" s="6" t="s">
        <v>15</v>
      </c>
      <c r="B41" s="14">
        <f>SUM(B32:B39)</f>
        <v>725</v>
      </c>
      <c r="C41" s="14">
        <f t="shared" ref="C41:G41" si="4">SUM(C32:C39)</f>
        <v>735</v>
      </c>
      <c r="D41" s="14">
        <f t="shared" si="4"/>
        <v>763</v>
      </c>
      <c r="E41" s="14">
        <f t="shared" si="4"/>
        <v>837</v>
      </c>
      <c r="F41" s="14">
        <f t="shared" si="4"/>
        <v>641</v>
      </c>
      <c r="G41" s="14">
        <f t="shared" si="4"/>
        <v>758</v>
      </c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x14ac:dyDescent="0.2">
      <c r="A42" s="6" t="s">
        <v>37</v>
      </c>
      <c r="B42" s="14">
        <f>B29-B41</f>
        <v>-225</v>
      </c>
      <c r="C42" s="14">
        <f t="shared" ref="C42:G42" si="5">C29-C41</f>
        <v>15</v>
      </c>
      <c r="D42" s="14">
        <f t="shared" si="5"/>
        <v>37</v>
      </c>
      <c r="E42" s="14">
        <f t="shared" si="5"/>
        <v>-137</v>
      </c>
      <c r="F42" s="14">
        <f t="shared" si="5"/>
        <v>13</v>
      </c>
      <c r="G42" s="14">
        <f t="shared" si="5"/>
        <v>-58</v>
      </c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8.75" thickBot="1" x14ac:dyDescent="0.25">
      <c r="A45" s="3">
        <v>3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x14ac:dyDescent="0.2">
      <c r="A46" s="25"/>
      <c r="B46" s="26" t="s">
        <v>38</v>
      </c>
      <c r="C46" s="26"/>
      <c r="D46" s="26"/>
      <c r="E46" s="26"/>
      <c r="F46" s="26"/>
      <c r="G46" s="27"/>
      <c r="H46" s="28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" thickBot="1" x14ac:dyDescent="0.25">
      <c r="A47" s="29"/>
      <c r="B47" s="30"/>
      <c r="C47" s="30"/>
      <c r="D47" s="30"/>
      <c r="E47" s="30"/>
      <c r="F47" s="30"/>
      <c r="G47" s="31"/>
      <c r="H47" s="3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x14ac:dyDescent="0.2">
      <c r="A48" s="18" t="s">
        <v>39</v>
      </c>
      <c r="B48" s="18" t="s">
        <v>40</v>
      </c>
      <c r="C48" s="18" t="s">
        <v>41</v>
      </c>
      <c r="D48" s="18" t="s">
        <v>42</v>
      </c>
      <c r="E48" s="18" t="s">
        <v>43</v>
      </c>
      <c r="F48" s="18" t="s">
        <v>44</v>
      </c>
      <c r="G48" s="18" t="s">
        <v>45</v>
      </c>
      <c r="H48" s="18" t="s">
        <v>46</v>
      </c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x14ac:dyDescent="0.2">
      <c r="A49" s="17">
        <v>1</v>
      </c>
      <c r="B49" s="4" t="s">
        <v>47</v>
      </c>
      <c r="C49" s="13">
        <v>853</v>
      </c>
      <c r="D49" s="15">
        <v>0.1</v>
      </c>
      <c r="E49" s="15">
        <v>0.09</v>
      </c>
      <c r="F49" s="14">
        <f>C49*D49</f>
        <v>85.300000000000011</v>
      </c>
      <c r="G49" s="14">
        <f>C49*E49</f>
        <v>76.77</v>
      </c>
      <c r="H49" s="14">
        <f>(C49+G49)-F49</f>
        <v>844.47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x14ac:dyDescent="0.2">
      <c r="A50" s="17">
        <v>2</v>
      </c>
      <c r="B50" s="4" t="s">
        <v>48</v>
      </c>
      <c r="C50" s="13">
        <v>951</v>
      </c>
      <c r="D50" s="15">
        <v>9.9900000000000003E-2</v>
      </c>
      <c r="E50" s="15">
        <v>0.08</v>
      </c>
      <c r="F50" s="14">
        <f t="shared" ref="F50:F56" si="6">C50*D50</f>
        <v>95.004900000000006</v>
      </c>
      <c r="G50" s="14">
        <f t="shared" ref="G50:G56" si="7">C50*E50</f>
        <v>76.08</v>
      </c>
      <c r="H50" s="14">
        <f>(C50+G50)-F50</f>
        <v>932.07509999999991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x14ac:dyDescent="0.2">
      <c r="A51" s="17">
        <v>3</v>
      </c>
      <c r="B51" s="4" t="s">
        <v>49</v>
      </c>
      <c r="C51" s="13">
        <v>456</v>
      </c>
      <c r="D51" s="15">
        <v>8.6400000000000005E-2</v>
      </c>
      <c r="E51" s="15">
        <v>0.06</v>
      </c>
      <c r="F51" s="14">
        <f t="shared" si="6"/>
        <v>39.398400000000002</v>
      </c>
      <c r="G51" s="14">
        <f t="shared" si="7"/>
        <v>27.36</v>
      </c>
      <c r="H51" s="14">
        <f t="shared" ref="H51:H56" si="8">(C51+G51)-F51</f>
        <v>443.96160000000003</v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x14ac:dyDescent="0.2">
      <c r="A52" s="17">
        <v>4</v>
      </c>
      <c r="B52" s="4" t="s">
        <v>50</v>
      </c>
      <c r="C52" s="13">
        <v>500</v>
      </c>
      <c r="D52" s="15">
        <v>8.5000000000000006E-2</v>
      </c>
      <c r="E52" s="15">
        <v>0.06</v>
      </c>
      <c r="F52" s="14">
        <f t="shared" si="6"/>
        <v>42.5</v>
      </c>
      <c r="G52" s="14">
        <f t="shared" si="7"/>
        <v>30</v>
      </c>
      <c r="H52" s="14">
        <f t="shared" si="8"/>
        <v>487.5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x14ac:dyDescent="0.2">
      <c r="A53" s="17">
        <v>5</v>
      </c>
      <c r="B53" s="4" t="s">
        <v>51</v>
      </c>
      <c r="C53" s="13">
        <v>850</v>
      </c>
      <c r="D53" s="15">
        <v>8.9899999999999994E-2</v>
      </c>
      <c r="E53" s="15">
        <v>7.0000000000000007E-2</v>
      </c>
      <c r="F53" s="14">
        <f t="shared" si="6"/>
        <v>76.414999999999992</v>
      </c>
      <c r="G53" s="14">
        <f t="shared" si="7"/>
        <v>59.500000000000007</v>
      </c>
      <c r="H53" s="14">
        <f t="shared" si="8"/>
        <v>833.08500000000004</v>
      </c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x14ac:dyDescent="0.2">
      <c r="A54" s="17">
        <v>6</v>
      </c>
      <c r="B54" s="4" t="s">
        <v>52</v>
      </c>
      <c r="C54" s="13">
        <v>459</v>
      </c>
      <c r="D54" s="15">
        <v>6.25E-2</v>
      </c>
      <c r="E54" s="15">
        <v>0.05</v>
      </c>
      <c r="F54" s="14">
        <f t="shared" si="6"/>
        <v>28.6875</v>
      </c>
      <c r="G54" s="14">
        <f t="shared" si="7"/>
        <v>22.950000000000003</v>
      </c>
      <c r="H54" s="14">
        <f t="shared" si="8"/>
        <v>453.26249999999999</v>
      </c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x14ac:dyDescent="0.2">
      <c r="A55" s="17">
        <v>7</v>
      </c>
      <c r="B55" s="4" t="s">
        <v>53</v>
      </c>
      <c r="C55" s="13">
        <v>478</v>
      </c>
      <c r="D55" s="15">
        <v>7.1199999999999999E-2</v>
      </c>
      <c r="E55" s="15">
        <v>0.05</v>
      </c>
      <c r="F55" s="14">
        <f t="shared" si="6"/>
        <v>34.0336</v>
      </c>
      <c r="G55" s="14">
        <f t="shared" si="7"/>
        <v>23.900000000000002</v>
      </c>
      <c r="H55" s="14">
        <f t="shared" si="8"/>
        <v>467.8664</v>
      </c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x14ac:dyDescent="0.2">
      <c r="A56" s="17">
        <v>8</v>
      </c>
      <c r="B56" s="4" t="s">
        <v>54</v>
      </c>
      <c r="C56" s="13">
        <v>658</v>
      </c>
      <c r="D56" s="15">
        <v>5.9900000000000002E-2</v>
      </c>
      <c r="E56" s="15">
        <v>0.04</v>
      </c>
      <c r="F56" s="14">
        <f t="shared" si="6"/>
        <v>39.414200000000001</v>
      </c>
      <c r="G56" s="14">
        <f t="shared" si="7"/>
        <v>26.32</v>
      </c>
      <c r="H56" s="14">
        <f t="shared" si="8"/>
        <v>644.9058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8" x14ac:dyDescent="0.2">
      <c r="A59" s="3">
        <v>4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" thickBot="1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" thickBot="1" x14ac:dyDescent="0.25">
      <c r="A61" s="35" t="s">
        <v>55</v>
      </c>
      <c r="B61" s="36">
        <v>2.94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" thickBot="1" x14ac:dyDescent="0.25">
      <c r="A62" s="33" t="s">
        <v>56</v>
      </c>
      <c r="B62" s="23"/>
      <c r="C62" s="23"/>
      <c r="D62" s="23"/>
      <c r="E62" s="3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x14ac:dyDescent="0.2">
      <c r="A63" s="18" t="s">
        <v>57</v>
      </c>
      <c r="B63" s="18" t="s">
        <v>58</v>
      </c>
      <c r="C63" s="18" t="s">
        <v>59</v>
      </c>
      <c r="D63" s="18" t="s">
        <v>60</v>
      </c>
      <c r="E63" s="18" t="s">
        <v>61</v>
      </c>
      <c r="F63" s="4"/>
      <c r="G63" s="4"/>
      <c r="H63" s="4"/>
      <c r="I63" s="16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x14ac:dyDescent="0.2">
      <c r="A64" s="6" t="s">
        <v>62</v>
      </c>
      <c r="B64" s="7">
        <v>500</v>
      </c>
      <c r="C64" s="13">
        <v>0.15</v>
      </c>
      <c r="D64" s="14">
        <f>B64*C64</f>
        <v>75</v>
      </c>
      <c r="E64" s="4">
        <f>D64/$B$61</f>
        <v>25.510204081632654</v>
      </c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x14ac:dyDescent="0.2">
      <c r="A65" s="6" t="s">
        <v>63</v>
      </c>
      <c r="B65" s="7">
        <v>750</v>
      </c>
      <c r="C65" s="13">
        <v>0.15</v>
      </c>
      <c r="D65" s="14">
        <f t="shared" ref="D65:D70" si="9">B65*C65</f>
        <v>112.5</v>
      </c>
      <c r="E65" s="4">
        <f t="shared" ref="E65:E70" si="10">D65/$B$61</f>
        <v>38.265306122448983</v>
      </c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x14ac:dyDescent="0.2">
      <c r="A66" s="6" t="s">
        <v>64</v>
      </c>
      <c r="B66" s="7">
        <v>250</v>
      </c>
      <c r="C66" s="13">
        <v>10</v>
      </c>
      <c r="D66" s="14">
        <f t="shared" si="9"/>
        <v>2500</v>
      </c>
      <c r="E66" s="4">
        <f t="shared" si="10"/>
        <v>850.34013605442181</v>
      </c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x14ac:dyDescent="0.2">
      <c r="A67" s="6" t="s">
        <v>65</v>
      </c>
      <c r="B67" s="7">
        <v>310</v>
      </c>
      <c r="C67" s="13">
        <v>0.5</v>
      </c>
      <c r="D67" s="14">
        <f t="shared" si="9"/>
        <v>155</v>
      </c>
      <c r="E67" s="4">
        <f t="shared" si="10"/>
        <v>52.721088435374149</v>
      </c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x14ac:dyDescent="0.2">
      <c r="A68" s="6" t="s">
        <v>66</v>
      </c>
      <c r="B68" s="7">
        <v>500</v>
      </c>
      <c r="C68" s="13">
        <v>0.1</v>
      </c>
      <c r="D68" s="14">
        <f t="shared" si="9"/>
        <v>50</v>
      </c>
      <c r="E68" s="4">
        <f t="shared" si="10"/>
        <v>17.006802721088437</v>
      </c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x14ac:dyDescent="0.2">
      <c r="A69" s="6" t="s">
        <v>67</v>
      </c>
      <c r="B69" s="7">
        <v>1500</v>
      </c>
      <c r="C69" s="13">
        <v>2.5</v>
      </c>
      <c r="D69" s="14">
        <f t="shared" si="9"/>
        <v>3750</v>
      </c>
      <c r="E69" s="4">
        <f t="shared" si="10"/>
        <v>1275.5102040816328</v>
      </c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x14ac:dyDescent="0.2">
      <c r="A70" s="6" t="s">
        <v>68</v>
      </c>
      <c r="B70" s="7">
        <v>190</v>
      </c>
      <c r="C70" s="13">
        <v>6</v>
      </c>
      <c r="D70" s="14">
        <f t="shared" si="9"/>
        <v>1140</v>
      </c>
      <c r="E70" s="4">
        <f t="shared" si="10"/>
        <v>387.75510204081633</v>
      </c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8" x14ac:dyDescent="0.2">
      <c r="A73" s="3">
        <v>5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42.75" customHeight="1" x14ac:dyDescent="0.2">
      <c r="A75" s="2" t="s">
        <v>69</v>
      </c>
      <c r="B75" s="2"/>
      <c r="C75" s="2"/>
      <c r="D75" s="2"/>
      <c r="E75" s="2"/>
      <c r="F75" s="2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x14ac:dyDescent="0.2">
      <c r="A76" s="2"/>
      <c r="B76" s="2"/>
      <c r="C76" s="2"/>
      <c r="D76" s="2"/>
      <c r="E76" s="2"/>
      <c r="F76" s="2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x14ac:dyDescent="0.2">
      <c r="A77" s="2"/>
      <c r="B77" s="2"/>
      <c r="C77" s="2"/>
      <c r="D77" s="2"/>
      <c r="E77" s="2"/>
      <c r="F77" s="2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x14ac:dyDescent="0.2">
      <c r="A78" s="2"/>
      <c r="B78" s="2"/>
      <c r="C78" s="2"/>
      <c r="D78" s="2"/>
      <c r="E78" s="2"/>
      <c r="F78" s="2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x14ac:dyDescent="0.2">
      <c r="A80" s="18" t="s">
        <v>70</v>
      </c>
      <c r="B80" s="18" t="s">
        <v>71</v>
      </c>
      <c r="C80" s="18" t="s">
        <v>72</v>
      </c>
      <c r="D80" s="18" t="s">
        <v>73</v>
      </c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</row>
    <row r="81" spans="1:26" x14ac:dyDescent="0.2">
      <c r="A81" s="4" t="s">
        <v>74</v>
      </c>
      <c r="B81" s="13">
        <v>900</v>
      </c>
      <c r="C81" s="4">
        <f>IF(Tabela15[[#This Row],[Salário]]&lt;=1000,B81*0.4,B81*0.3)</f>
        <v>360</v>
      </c>
      <c r="D81" s="4">
        <f>Tabela15[[#This Row],[Salário]]+Tabela15[[#This Row],[Aumento]]</f>
        <v>1260</v>
      </c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</row>
    <row r="82" spans="1:26" x14ac:dyDescent="0.2">
      <c r="A82" s="4" t="s">
        <v>75</v>
      </c>
      <c r="B82" s="13">
        <v>1200</v>
      </c>
      <c r="C82" s="4">
        <f>IF(Tabela15[[#This Row],[Salário]]&lt;=1000,B82*0.4,B82*0.3)</f>
        <v>360</v>
      </c>
      <c r="D82" s="4">
        <f>Tabela15[[#This Row],[Salário]]+Tabela15[[#This Row],[Aumento]]</f>
        <v>1560</v>
      </c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</row>
    <row r="83" spans="1:26" x14ac:dyDescent="0.2">
      <c r="A83" s="4" t="s">
        <v>76</v>
      </c>
      <c r="B83" s="13">
        <v>1500</v>
      </c>
      <c r="C83" s="4">
        <f>IF(Tabela15[[#This Row],[Salário]]&lt;=1000,B83*0.4,B83*0.3)</f>
        <v>450</v>
      </c>
      <c r="D83" s="4">
        <f>Tabela15[[#This Row],[Salário]]+Tabela15[[#This Row],[Aumento]]</f>
        <v>1950</v>
      </c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</row>
    <row r="84" spans="1:26" x14ac:dyDescent="0.2">
      <c r="A84" s="4" t="s">
        <v>77</v>
      </c>
      <c r="B84" s="13">
        <v>2000</v>
      </c>
      <c r="C84" s="4">
        <f>IF(Tabela15[[#This Row],[Salário]]&lt;=1000,B84*0.4,B84*0.3)</f>
        <v>600</v>
      </c>
      <c r="D84" s="4">
        <f>Tabela15[[#This Row],[Salário]]+Tabela15[[#This Row],[Aumento]]</f>
        <v>2600</v>
      </c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</row>
    <row r="85" spans="1:26" x14ac:dyDescent="0.2">
      <c r="A85" s="4" t="s">
        <v>78</v>
      </c>
      <c r="B85" s="13">
        <v>1400</v>
      </c>
      <c r="C85" s="4">
        <f>IF(Tabela15[[#This Row],[Salário]]&lt;=1000,B85*0.4,B85*0.3)</f>
        <v>420</v>
      </c>
      <c r="D85" s="4">
        <f>Tabela15[[#This Row],[Salário]]+Tabela15[[#This Row],[Aumento]]</f>
        <v>1820</v>
      </c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</row>
    <row r="86" spans="1:26" x14ac:dyDescent="0.2">
      <c r="A86" s="4" t="s">
        <v>79</v>
      </c>
      <c r="B86" s="13">
        <v>990</v>
      </c>
      <c r="C86" s="4">
        <f>IF(Tabela15[[#This Row],[Salário]]&lt;=1000,B86*0.4,B86*0.3)</f>
        <v>396</v>
      </c>
      <c r="D86" s="4">
        <f>Tabela15[[#This Row],[Salário]]+Tabela15[[#This Row],[Aumento]]</f>
        <v>1386</v>
      </c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</row>
    <row r="87" spans="1:26" ht="28.5" x14ac:dyDescent="0.2">
      <c r="A87" s="4" t="s">
        <v>80</v>
      </c>
      <c r="B87" s="13">
        <v>854</v>
      </c>
      <c r="C87" s="4">
        <f>IF(Tabela15[[#This Row],[Salário]]&lt;=1000,B87*0.4,B87*0.3)</f>
        <v>341.6</v>
      </c>
      <c r="D87" s="4">
        <f>Tabela15[[#This Row],[Salário]]+Tabela15[[#This Row],[Aumento]]</f>
        <v>1195.5999999999999</v>
      </c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</row>
    <row r="88" spans="1:26" x14ac:dyDescent="0.2">
      <c r="A88" s="4" t="s">
        <v>81</v>
      </c>
      <c r="B88" s="13">
        <v>1100</v>
      </c>
      <c r="C88" s="4">
        <f>IF(Tabela15[[#This Row],[Salário]]&lt;=1000,B88*0.4,B88*0.3)</f>
        <v>330</v>
      </c>
      <c r="D88" s="4">
        <f>Tabela15[[#This Row],[Salário]]+Tabela15[[#This Row],[Aumento]]</f>
        <v>1430</v>
      </c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</row>
    <row r="89" spans="1:26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8" x14ac:dyDescent="0.2">
      <c r="A91" s="3">
        <v>6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x14ac:dyDescent="0.2">
      <c r="A93" s="12" t="s">
        <v>82</v>
      </c>
      <c r="B93" s="12"/>
      <c r="C93" s="12"/>
      <c r="D93" s="12"/>
      <c r="E93" s="12"/>
      <c r="F93" s="12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x14ac:dyDescent="0.2">
      <c r="A95" s="18" t="s">
        <v>83</v>
      </c>
      <c r="B95" s="18" t="s">
        <v>84</v>
      </c>
      <c r="C95" s="18" t="s">
        <v>85</v>
      </c>
      <c r="D95" s="18" t="s">
        <v>86</v>
      </c>
      <c r="E95" s="18" t="s">
        <v>87</v>
      </c>
      <c r="F95" s="18" t="s">
        <v>88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x14ac:dyDescent="0.2">
      <c r="A96" s="4"/>
      <c r="B96" s="11">
        <v>140000</v>
      </c>
      <c r="C96" s="11">
        <v>165000</v>
      </c>
      <c r="D96" s="11">
        <v>208000</v>
      </c>
      <c r="E96" s="11">
        <v>280000</v>
      </c>
      <c r="F96" s="10">
        <f>SUM(B96:E96)</f>
        <v>793000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x14ac:dyDescent="0.2">
      <c r="A97" s="4"/>
      <c r="B97" s="4"/>
      <c r="C97" s="4"/>
      <c r="D97" s="4"/>
      <c r="E97" s="4"/>
      <c r="F97" s="10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28.5" x14ac:dyDescent="0.2">
      <c r="A98" s="6" t="s">
        <v>89</v>
      </c>
      <c r="B98" s="6" t="s">
        <v>84</v>
      </c>
      <c r="C98" s="6" t="s">
        <v>85</v>
      </c>
      <c r="D98" s="6" t="s">
        <v>86</v>
      </c>
      <c r="E98" s="6" t="s">
        <v>87</v>
      </c>
      <c r="F98" s="10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">
      <c r="A99" s="4" t="s">
        <v>90</v>
      </c>
      <c r="B99" s="11">
        <v>20000</v>
      </c>
      <c r="C99" s="11">
        <v>26000</v>
      </c>
      <c r="D99" s="11">
        <v>33800</v>
      </c>
      <c r="E99" s="11">
        <v>43940</v>
      </c>
      <c r="F99" s="10">
        <f t="shared" ref="F99:F104" si="11">SUM(B99:E99)</f>
        <v>123740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x14ac:dyDescent="0.2">
      <c r="A100" s="4" t="s">
        <v>91</v>
      </c>
      <c r="B100" s="11">
        <v>20000</v>
      </c>
      <c r="C100" s="11">
        <v>15600</v>
      </c>
      <c r="D100" s="11">
        <v>20280</v>
      </c>
      <c r="E100" s="11">
        <v>26364</v>
      </c>
      <c r="F100" s="10">
        <f t="shared" si="11"/>
        <v>82244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x14ac:dyDescent="0.2">
      <c r="A101" s="4" t="s">
        <v>92</v>
      </c>
      <c r="B101" s="11">
        <v>12000</v>
      </c>
      <c r="C101" s="11">
        <v>20930</v>
      </c>
      <c r="D101" s="11">
        <v>27209</v>
      </c>
      <c r="E101" s="11">
        <v>35371.699999999997</v>
      </c>
      <c r="F101" s="10">
        <f t="shared" si="11"/>
        <v>95510.7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x14ac:dyDescent="0.2">
      <c r="A102" s="4" t="s">
        <v>93</v>
      </c>
      <c r="B102" s="11">
        <v>16100</v>
      </c>
      <c r="C102" s="11">
        <v>28870</v>
      </c>
      <c r="D102" s="11">
        <v>33631</v>
      </c>
      <c r="E102" s="11">
        <v>43720.3</v>
      </c>
      <c r="F102" s="10">
        <f t="shared" si="11"/>
        <v>122321.3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x14ac:dyDescent="0.2">
      <c r="A103" s="4" t="s">
        <v>94</v>
      </c>
      <c r="B103" s="11">
        <v>19900</v>
      </c>
      <c r="C103" s="11">
        <v>39000</v>
      </c>
      <c r="D103" s="11">
        <v>50700</v>
      </c>
      <c r="E103" s="11">
        <v>65910</v>
      </c>
      <c r="F103" s="10">
        <f t="shared" si="11"/>
        <v>175510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x14ac:dyDescent="0.2">
      <c r="A104" s="4" t="s">
        <v>95</v>
      </c>
      <c r="B104" s="11">
        <v>25000</v>
      </c>
      <c r="C104" s="11">
        <v>32500</v>
      </c>
      <c r="D104" s="11">
        <v>42250</v>
      </c>
      <c r="E104" s="11">
        <v>54925</v>
      </c>
      <c r="F104" s="10">
        <f t="shared" si="11"/>
        <v>154675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x14ac:dyDescent="0.2">
      <c r="A106" s="4" t="s">
        <v>96</v>
      </c>
      <c r="B106" s="10">
        <f>SUM(B99:B104)</f>
        <v>113000</v>
      </c>
      <c r="C106" s="10">
        <f t="shared" ref="C106:E106" si="12">SUM(C99:C104)</f>
        <v>162900</v>
      </c>
      <c r="D106" s="10">
        <f t="shared" si="12"/>
        <v>207870</v>
      </c>
      <c r="E106" s="10">
        <f t="shared" si="12"/>
        <v>270231</v>
      </c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28.5" x14ac:dyDescent="0.2">
      <c r="A107" s="4" t="s">
        <v>97</v>
      </c>
      <c r="B107" s="10">
        <f>B96-B106</f>
        <v>27000</v>
      </c>
      <c r="C107" s="10">
        <f t="shared" ref="C107:E107" si="13">C96-C106</f>
        <v>2100</v>
      </c>
      <c r="D107" s="10">
        <f t="shared" si="13"/>
        <v>130</v>
      </c>
      <c r="E107" s="10">
        <f t="shared" si="13"/>
        <v>9769</v>
      </c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x14ac:dyDescent="0.2">
      <c r="A108" s="4" t="s">
        <v>98</v>
      </c>
      <c r="B108" s="40" t="str">
        <f>IF(B107&lt;1000,"Prejuízo Total",IF(B107&gt;5000,"Lucro Total","Lucro médio"))</f>
        <v>Lucro Total</v>
      </c>
      <c r="C108" s="40" t="str">
        <f t="shared" ref="C108:E108" si="14">IF(C107&lt;1000,"Prejuízo Total",IF(C107&gt;5000,"Lucro Total","Lucro médio"))</f>
        <v>Lucro médio</v>
      </c>
      <c r="D108" s="40" t="str">
        <f t="shared" si="14"/>
        <v>Prejuízo Total</v>
      </c>
      <c r="E108" s="40" t="str">
        <f t="shared" si="14"/>
        <v>Lucro Total</v>
      </c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57" x14ac:dyDescent="0.2">
      <c r="A109" s="4"/>
      <c r="B109" s="4"/>
      <c r="C109" s="4" t="s">
        <v>99</v>
      </c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8" x14ac:dyDescent="0.2">
      <c r="A111" s="3">
        <v>7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x14ac:dyDescent="0.2">
      <c r="A114"/>
      <c r="B114"/>
      <c r="C114"/>
      <c r="D114"/>
      <c r="E114"/>
      <c r="F114"/>
      <c r="G114"/>
      <c r="H11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28.5" x14ac:dyDescent="0.2">
      <c r="A115" s="18" t="s">
        <v>100</v>
      </c>
      <c r="B115" s="19"/>
      <c r="C115" s="19"/>
      <c r="D115" s="19"/>
      <c r="E115" s="19"/>
      <c r="F115" s="19"/>
      <c r="G115" s="39" t="s">
        <v>101</v>
      </c>
      <c r="H115" s="39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28.5" x14ac:dyDescent="0.2">
      <c r="A116" s="18" t="s">
        <v>1</v>
      </c>
      <c r="B116" s="18" t="s">
        <v>2</v>
      </c>
      <c r="C116" s="18" t="s">
        <v>3</v>
      </c>
      <c r="D116" s="18" t="s">
        <v>102</v>
      </c>
      <c r="E116" s="19"/>
      <c r="F116" s="19"/>
      <c r="G116" s="19" t="s">
        <v>103</v>
      </c>
      <c r="H116" s="19">
        <v>20</v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x14ac:dyDescent="0.2">
      <c r="A117" s="47" t="s">
        <v>104</v>
      </c>
      <c r="B117" s="37">
        <v>4665</v>
      </c>
      <c r="C117" s="37">
        <v>4654</v>
      </c>
      <c r="D117" s="48" t="str">
        <f>IF(Tabela17[[#This Row],[Coluna3]]&gt;Tabela17[[#This Row],[Coluna2]],"MAIOR",IF(Tabela17[[#This Row],[Coluna2]]&gt;Tabela17[[#This Row],[Coluna3]],"MENOR","IGUAL"))</f>
        <v>MENOR</v>
      </c>
      <c r="E117" s="19"/>
      <c r="F117" s="19"/>
      <c r="G117" s="19" t="s">
        <v>105</v>
      </c>
      <c r="H117" s="38">
        <v>18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x14ac:dyDescent="0.2">
      <c r="A118" s="47" t="s">
        <v>106</v>
      </c>
      <c r="B118" s="37">
        <v>16574</v>
      </c>
      <c r="C118" s="37">
        <v>24348</v>
      </c>
      <c r="D118" s="48" t="str">
        <f>IF(Tabela17[[#This Row],[Coluna3]]&gt;Tabela17[[#This Row],[Coluna2]],"MAIOR",IF(Tabela17[[#This Row],[Coluna2]]&gt;Tabela17[[#This Row],[Coluna3]],"MENOR","IGUAL"))</f>
        <v>MAIOR</v>
      </c>
      <c r="E118" s="19"/>
      <c r="F118" s="19"/>
      <c r="G118" s="19" t="s">
        <v>107</v>
      </c>
      <c r="H118" s="38">
        <v>24</v>
      </c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x14ac:dyDescent="0.2">
      <c r="A119" s="47" t="s">
        <v>108</v>
      </c>
      <c r="B119" s="37">
        <v>1654</v>
      </c>
      <c r="C119" s="37">
        <v>6468</v>
      </c>
      <c r="D119" s="48" t="str">
        <f>IF(Tabela17[[#This Row],[Coluna3]]&gt;Tabela17[[#This Row],[Coluna2]],"MAIOR",IF(Tabela17[[#This Row],[Coluna2]]&gt;Tabela17[[#This Row],[Coluna3]],"MENOR","IGUAL"))</f>
        <v>MAIOR</v>
      </c>
      <c r="E119" s="19"/>
      <c r="F119" s="19"/>
      <c r="G119" s="19"/>
      <c r="H119" s="19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x14ac:dyDescent="0.2">
      <c r="A120" s="47" t="s">
        <v>109</v>
      </c>
      <c r="B120" s="38">
        <v>654</v>
      </c>
      <c r="C120" s="38">
        <v>654</v>
      </c>
      <c r="D120" s="48" t="str">
        <f>IF(Tabela17[[#This Row],[Coluna3]]&gt;Tabela17[[#This Row],[Coluna2]],"MAIOR",IF(Tabela17[[#This Row],[Coluna2]]&gt;Tabela17[[#This Row],[Coluna3]],"MENOR","IGUAL"))</f>
        <v>IGUAL</v>
      </c>
      <c r="E120" s="19"/>
      <c r="F120" s="19"/>
      <c r="G120" s="19" t="s">
        <v>110</v>
      </c>
      <c r="H120" s="48" t="str">
        <f>IF(AND(H116&gt;=18,H116&lt;=24),"DENTRO","FORA")</f>
        <v>DENTRO</v>
      </c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x14ac:dyDescent="0.2">
      <c r="A121" s="47" t="s">
        <v>111</v>
      </c>
      <c r="B121" s="38">
        <v>413</v>
      </c>
      <c r="C121" s="38">
        <v>434</v>
      </c>
      <c r="D121" s="48" t="str">
        <f>IF(Tabela17[[#This Row],[Coluna3]]&gt;Tabela17[[#This Row],[Coluna2]],"MAIOR",IF(Tabela17[[#This Row],[Coluna2]]&gt;Tabela17[[#This Row],[Coluna3]],"MENOR","IGUAL"))</f>
        <v>MAIOR</v>
      </c>
      <c r="E121" s="19"/>
      <c r="F121" s="19"/>
      <c r="G121" s="19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x14ac:dyDescent="0.2">
      <c r="A122" s="47" t="s">
        <v>112</v>
      </c>
      <c r="B122" s="37">
        <v>65765</v>
      </c>
      <c r="C122" s="37">
        <v>54646</v>
      </c>
      <c r="D122" s="48" t="str">
        <f>IF(Tabela17[[#This Row],[Coluna3]]&gt;Tabela17[[#This Row],[Coluna2]],"MAIOR",IF(Tabela17[[#This Row],[Coluna2]]&gt;Tabela17[[#This Row],[Coluna3]],"MENOR","IGUAL"))</f>
        <v>MENOR</v>
      </c>
      <c r="E122" s="19"/>
      <c r="F122" s="19"/>
      <c r="G122" s="19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8" x14ac:dyDescent="0.2">
      <c r="A124" s="3">
        <v>8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x14ac:dyDescent="0.2">
      <c r="A127" s="18" t="s">
        <v>70</v>
      </c>
      <c r="B127" s="18" t="s">
        <v>113</v>
      </c>
      <c r="C127" s="18" t="s">
        <v>114</v>
      </c>
      <c r="D127" s="18" t="s">
        <v>115</v>
      </c>
      <c r="E127" s="18" t="s">
        <v>116</v>
      </c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28.5" x14ac:dyDescent="0.2">
      <c r="A128" s="4" t="s">
        <v>117</v>
      </c>
      <c r="B128" s="4" t="s">
        <v>118</v>
      </c>
      <c r="C128" s="4" t="s">
        <v>119</v>
      </c>
      <c r="D128" s="4" t="s">
        <v>120</v>
      </c>
      <c r="E128" s="4" t="s">
        <v>121</v>
      </c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28.5" x14ac:dyDescent="0.2">
      <c r="A129" s="4" t="s">
        <v>47</v>
      </c>
      <c r="B129" s="4" t="s">
        <v>122</v>
      </c>
      <c r="C129" s="4" t="s">
        <v>123</v>
      </c>
      <c r="D129" s="4" t="s">
        <v>124</v>
      </c>
      <c r="E129" s="4" t="s">
        <v>121</v>
      </c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x14ac:dyDescent="0.2">
      <c r="A130" s="4" t="s">
        <v>125</v>
      </c>
      <c r="B130" s="4" t="s">
        <v>126</v>
      </c>
      <c r="C130" s="4" t="s">
        <v>119</v>
      </c>
      <c r="D130" s="4" t="s">
        <v>127</v>
      </c>
      <c r="E130" s="4" t="s">
        <v>128</v>
      </c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28.5" x14ac:dyDescent="0.2">
      <c r="A131" s="4" t="s">
        <v>129</v>
      </c>
      <c r="B131" s="4" t="s">
        <v>130</v>
      </c>
      <c r="C131" s="4" t="s">
        <v>131</v>
      </c>
      <c r="D131" s="4" t="s">
        <v>132</v>
      </c>
      <c r="E131" s="4" t="s">
        <v>121</v>
      </c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28.5" x14ac:dyDescent="0.2">
      <c r="A132" s="4" t="s">
        <v>50</v>
      </c>
      <c r="B132" s="4" t="s">
        <v>133</v>
      </c>
      <c r="C132" s="4" t="s">
        <v>134</v>
      </c>
      <c r="D132" s="4" t="s">
        <v>135</v>
      </c>
      <c r="E132" s="4" t="s">
        <v>121</v>
      </c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x14ac:dyDescent="0.2">
      <c r="A133" s="4" t="s">
        <v>49</v>
      </c>
      <c r="B133" s="4" t="s">
        <v>136</v>
      </c>
      <c r="C133" s="4" t="s">
        <v>119</v>
      </c>
      <c r="D133" s="4" t="s">
        <v>137</v>
      </c>
      <c r="E133" s="4" t="s">
        <v>138</v>
      </c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x14ac:dyDescent="0.2">
      <c r="A134" s="4" t="s">
        <v>139</v>
      </c>
      <c r="B134" s="4" t="s">
        <v>140</v>
      </c>
      <c r="C134" s="4" t="s">
        <v>141</v>
      </c>
      <c r="D134" s="4" t="s">
        <v>142</v>
      </c>
      <c r="E134" s="4" t="s">
        <v>121</v>
      </c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28.5" x14ac:dyDescent="0.2">
      <c r="A135" s="4" t="s">
        <v>143</v>
      </c>
      <c r="B135" s="4" t="s">
        <v>144</v>
      </c>
      <c r="C135" s="4" t="s">
        <v>145</v>
      </c>
      <c r="D135" s="4" t="s">
        <v>146</v>
      </c>
      <c r="E135" s="4" t="s">
        <v>121</v>
      </c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28.5" x14ac:dyDescent="0.2">
      <c r="A136" s="4" t="s">
        <v>147</v>
      </c>
      <c r="B136" s="4" t="s">
        <v>148</v>
      </c>
      <c r="C136" s="4" t="s">
        <v>149</v>
      </c>
      <c r="D136" s="4" t="s">
        <v>150</v>
      </c>
      <c r="E136" s="4" t="s">
        <v>151</v>
      </c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x14ac:dyDescent="0.2">
      <c r="A137" s="4" t="s">
        <v>48</v>
      </c>
      <c r="B137" s="4" t="s">
        <v>152</v>
      </c>
      <c r="C137" s="4" t="s">
        <v>153</v>
      </c>
      <c r="D137" s="4" t="s">
        <v>154</v>
      </c>
      <c r="E137" s="4" t="s">
        <v>155</v>
      </c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x14ac:dyDescent="0.2">
      <c r="A138" s="4" t="s">
        <v>156</v>
      </c>
      <c r="B138" s="4" t="s">
        <v>157</v>
      </c>
      <c r="C138" s="4" t="s">
        <v>158</v>
      </c>
      <c r="D138" s="4" t="s">
        <v>132</v>
      </c>
      <c r="E138" s="4" t="s">
        <v>121</v>
      </c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x14ac:dyDescent="0.2">
      <c r="A139" s="4" t="s">
        <v>159</v>
      </c>
      <c r="B139" s="4" t="s">
        <v>160</v>
      </c>
      <c r="C139" s="4" t="s">
        <v>161</v>
      </c>
      <c r="D139" s="4" t="s">
        <v>124</v>
      </c>
      <c r="E139" s="4" t="s">
        <v>121</v>
      </c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28.5" x14ac:dyDescent="0.2">
      <c r="A140" s="4" t="s">
        <v>162</v>
      </c>
      <c r="B140" s="4" t="s">
        <v>163</v>
      </c>
      <c r="C140" s="4" t="s">
        <v>119</v>
      </c>
      <c r="D140" s="4" t="s">
        <v>164</v>
      </c>
      <c r="E140" s="4" t="s">
        <v>165</v>
      </c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28.5" x14ac:dyDescent="0.2">
      <c r="A141" s="4" t="s">
        <v>166</v>
      </c>
      <c r="B141" s="4" t="s">
        <v>167</v>
      </c>
      <c r="C141" s="4" t="s">
        <v>168</v>
      </c>
      <c r="D141" s="4" t="s">
        <v>169</v>
      </c>
      <c r="E141" s="4" t="s">
        <v>170</v>
      </c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28.5" x14ac:dyDescent="0.2">
      <c r="A142" s="4" t="s">
        <v>171</v>
      </c>
      <c r="B142" s="4" t="s">
        <v>172</v>
      </c>
      <c r="C142" s="4" t="s">
        <v>173</v>
      </c>
      <c r="D142" s="4" t="s">
        <v>174</v>
      </c>
      <c r="E142" s="4" t="s">
        <v>175</v>
      </c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x14ac:dyDescent="0.2">
      <c r="A145"/>
      <c r="B145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x14ac:dyDescent="0.2">
      <c r="A146" s="19" t="s">
        <v>70</v>
      </c>
      <c r="B146" s="19" t="s">
        <v>48</v>
      </c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x14ac:dyDescent="0.2">
      <c r="A147" s="19" t="s">
        <v>113</v>
      </c>
      <c r="B147" s="19" t="str">
        <f>VLOOKUP(B146,Tabela18[],2,FALSE)</f>
        <v>Av.Ipiranga, 568</v>
      </c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x14ac:dyDescent="0.2">
      <c r="A148" s="19" t="s">
        <v>114</v>
      </c>
      <c r="B148" s="19" t="str">
        <f>VLOOKUP(B146,Tabela18[],3,FALSE)</f>
        <v>Ibirapuera</v>
      </c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x14ac:dyDescent="0.2">
      <c r="A149" s="19" t="s">
        <v>115</v>
      </c>
      <c r="B149" s="19" t="str">
        <f>VLOOKUP(B146,Tabela18[],4,FALSE)</f>
        <v>Manaus</v>
      </c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x14ac:dyDescent="0.2">
      <c r="A150" s="19" t="s">
        <v>116</v>
      </c>
      <c r="B150" s="19" t="str">
        <f>VLOOKUP(B146,Tabela18[],5,FALSE)</f>
        <v>AM</v>
      </c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x14ac:dyDescent="0.2">
      <c r="A151" s="19"/>
      <c r="B151" s="19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8" x14ac:dyDescent="0.2">
      <c r="A152" s="3">
        <v>9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" thickBot="1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" thickBot="1" x14ac:dyDescent="0.25">
      <c r="A154" s="41" t="s">
        <v>176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" thickBot="1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x14ac:dyDescent="0.2">
      <c r="A156" s="25" t="s">
        <v>177</v>
      </c>
      <c r="B156" s="42">
        <v>0.125</v>
      </c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" thickBot="1" x14ac:dyDescent="0.25">
      <c r="A157" s="29" t="s">
        <v>178</v>
      </c>
      <c r="B157" s="43">
        <v>3.34</v>
      </c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" thickBot="1" x14ac:dyDescent="0.25">
      <c r="A159" s="4"/>
      <c r="B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" thickBot="1" x14ac:dyDescent="0.25">
      <c r="A160"/>
      <c r="B160"/>
      <c r="C160" s="44" t="s">
        <v>179</v>
      </c>
      <c r="D160" s="45"/>
      <c r="E160" s="45"/>
      <c r="F160" s="45" t="s">
        <v>180</v>
      </c>
      <c r="G160" s="45"/>
      <c r="H160" s="46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x14ac:dyDescent="0.2">
      <c r="A161" s="6" t="s">
        <v>1</v>
      </c>
      <c r="B161" s="6" t="s">
        <v>181</v>
      </c>
      <c r="C161" s="6" t="s">
        <v>182</v>
      </c>
      <c r="D161" s="6" t="s">
        <v>183</v>
      </c>
      <c r="E161" s="6" t="s">
        <v>184</v>
      </c>
      <c r="F161" s="6" t="s">
        <v>182</v>
      </c>
      <c r="G161" s="6" t="s">
        <v>183</v>
      </c>
      <c r="H161" s="6" t="s">
        <v>184</v>
      </c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x14ac:dyDescent="0.2">
      <c r="A162" s="4" t="s">
        <v>185</v>
      </c>
      <c r="B162" s="7">
        <v>500</v>
      </c>
      <c r="C162" s="13">
        <v>0.5</v>
      </c>
      <c r="D162" s="13">
        <v>0.55000000000000004</v>
      </c>
      <c r="E162" s="4">
        <f>Tabela20[[#This Row],[Coluna4]]*Tabela20[[#This Row],[Coluna2]]</f>
        <v>275</v>
      </c>
      <c r="F162" s="4">
        <f>Tabela20[[#This Row],[Coluna3]]/$B$157</f>
        <v>0.14970059880239522</v>
      </c>
      <c r="G162" s="4">
        <f>Tabela20[[#This Row],[Coluna6]]*$B$156</f>
        <v>1.8712574850299403E-2</v>
      </c>
      <c r="H162" s="4">
        <f>Tabela20[[#This Row],[Coluna7]]*Tabela20[[#This Row],[Coluna2]]</f>
        <v>9.3562874251497021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x14ac:dyDescent="0.2">
      <c r="A163" s="4" t="s">
        <v>186</v>
      </c>
      <c r="B163" s="7">
        <v>200</v>
      </c>
      <c r="C163" s="13">
        <v>2.57</v>
      </c>
      <c r="D163" s="13">
        <v>2.7</v>
      </c>
      <c r="E163" s="4">
        <f>Tabela20[[#This Row],[Coluna4]]*Tabela20[[#This Row],[Coluna2]]</f>
        <v>540</v>
      </c>
      <c r="F163" s="4">
        <f>Tabela20[[#This Row],[Coluna3]]/$B$157</f>
        <v>0.76946107784431139</v>
      </c>
      <c r="G163" s="4">
        <f>Tabela20[[#This Row],[Coluna6]]*$B$156</f>
        <v>9.6182634730538924E-2</v>
      </c>
      <c r="H163" s="4">
        <f>Tabela20[[#This Row],[Coluna7]]*Tabela20[[#This Row],[Coluna2]]</f>
        <v>19.236526946107784</v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x14ac:dyDescent="0.2">
      <c r="A164" s="4" t="s">
        <v>187</v>
      </c>
      <c r="B164" s="7">
        <v>300</v>
      </c>
      <c r="C164" s="13">
        <v>5</v>
      </c>
      <c r="D164" s="13">
        <v>5.5</v>
      </c>
      <c r="E164" s="4">
        <f>Tabela20[[#This Row],[Coluna4]]*Tabela20[[#This Row],[Coluna2]]</f>
        <v>1650</v>
      </c>
      <c r="F164" s="4">
        <f>Tabela20[[#This Row],[Coluna3]]/$B$157</f>
        <v>1.4970059880239521</v>
      </c>
      <c r="G164" s="4">
        <f>Tabela20[[#This Row],[Coluna6]]*$B$156</f>
        <v>0.18712574850299402</v>
      </c>
      <c r="H164" s="4">
        <f>Tabela20[[#This Row],[Coluna7]]*Tabela20[[#This Row],[Coluna2]]</f>
        <v>56.137724550898206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x14ac:dyDescent="0.2">
      <c r="A165" s="4" t="s">
        <v>62</v>
      </c>
      <c r="B165" s="7">
        <v>1000</v>
      </c>
      <c r="C165" s="13">
        <v>0.15</v>
      </c>
      <c r="D165" s="13">
        <v>0.25</v>
      </c>
      <c r="E165" s="4">
        <f>Tabela20[[#This Row],[Coluna4]]*Tabela20[[#This Row],[Coluna2]]</f>
        <v>250</v>
      </c>
      <c r="F165" s="4">
        <f>Tabela20[[#This Row],[Coluna3]]/$B$157</f>
        <v>4.4910179640718563E-2</v>
      </c>
      <c r="G165" s="4">
        <f>Tabela20[[#This Row],[Coluna6]]*$B$156</f>
        <v>5.6137724550898204E-3</v>
      </c>
      <c r="H165" s="4">
        <f>Tabela20[[#This Row],[Coluna7]]*Tabela20[[#This Row],[Coluna2]]</f>
        <v>5.61377245508982</v>
      </c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x14ac:dyDescent="0.2">
      <c r="A166" s="4" t="s">
        <v>63</v>
      </c>
      <c r="B166" s="7">
        <v>1000</v>
      </c>
      <c r="C166" s="13">
        <v>0.15</v>
      </c>
      <c r="D166" s="13">
        <v>0.25</v>
      </c>
      <c r="E166" s="4">
        <f>Tabela20[[#This Row],[Coluna4]]*Tabela20[[#This Row],[Coluna2]]</f>
        <v>250</v>
      </c>
      <c r="F166" s="4">
        <f>Tabela20[[#This Row],[Coluna3]]/$B$157</f>
        <v>4.4910179640718563E-2</v>
      </c>
      <c r="G166" s="4">
        <f>Tabela20[[#This Row],[Coluna6]]*$B$156</f>
        <v>5.6137724550898204E-3</v>
      </c>
      <c r="H166" s="4">
        <f>Tabela20[[#This Row],[Coluna7]]*Tabela20[[#This Row],[Coluna2]]</f>
        <v>5.61377245508982</v>
      </c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x14ac:dyDescent="0.2">
      <c r="A167" s="4" t="s">
        <v>188</v>
      </c>
      <c r="B167" s="7">
        <v>200</v>
      </c>
      <c r="C167" s="13">
        <v>3</v>
      </c>
      <c r="D167" s="13">
        <v>3.5</v>
      </c>
      <c r="E167" s="4">
        <f>Tabela20[[#This Row],[Coluna4]]*Tabela20[[#This Row],[Coluna2]]</f>
        <v>700</v>
      </c>
      <c r="F167" s="4">
        <f>Tabela20[[#This Row],[Coluna3]]/$B$157</f>
        <v>0.89820359281437134</v>
      </c>
      <c r="G167" s="4">
        <f>Tabela20[[#This Row],[Coluna6]]*$B$156</f>
        <v>0.11227544910179642</v>
      </c>
      <c r="H167" s="4">
        <f>Tabela20[[#This Row],[Coluna7]]*Tabela20[[#This Row],[Coluna2]]</f>
        <v>22.455089820359284</v>
      </c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x14ac:dyDescent="0.2">
      <c r="A168" s="4" t="s">
        <v>189</v>
      </c>
      <c r="B168" s="7">
        <v>500</v>
      </c>
      <c r="C168" s="13">
        <v>0.25</v>
      </c>
      <c r="D168" s="13">
        <v>0.3</v>
      </c>
      <c r="E168" s="4">
        <f>Tabela20[[#This Row],[Coluna4]]*Tabela20[[#This Row],[Coluna2]]</f>
        <v>150</v>
      </c>
      <c r="F168" s="4">
        <f>Tabela20[[#This Row],[Coluna3]]/$B$157</f>
        <v>7.4850299401197612E-2</v>
      </c>
      <c r="G168" s="4">
        <f>Tabela20[[#This Row],[Coluna6]]*$B$156</f>
        <v>9.3562874251497015E-3</v>
      </c>
      <c r="H168" s="4">
        <f>Tabela20[[#This Row],[Coluna7]]*Tabela20[[#This Row],[Coluna2]]</f>
        <v>4.6781437125748511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x14ac:dyDescent="0.2">
      <c r="A169" s="4" t="s">
        <v>190</v>
      </c>
      <c r="B169" s="7">
        <v>500</v>
      </c>
      <c r="C169" s="13">
        <v>0.35</v>
      </c>
      <c r="D169" s="13">
        <v>0.45</v>
      </c>
      <c r="E169" s="4">
        <f>Tabela20[[#This Row],[Coluna4]]*Tabela20[[#This Row],[Coluna2]]</f>
        <v>225</v>
      </c>
      <c r="F169" s="4">
        <f>Tabela20[[#This Row],[Coluna3]]/$B$157</f>
        <v>0.10479041916167664</v>
      </c>
      <c r="G169" s="4">
        <f>Tabela20[[#This Row],[Coluna6]]*$B$156</f>
        <v>1.309880239520958E-2</v>
      </c>
      <c r="H169" s="4">
        <f>Tabela20[[#This Row],[Coluna7]]*Tabela20[[#This Row],[Coluna2]]</f>
        <v>6.5494011976047899</v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x14ac:dyDescent="0.2">
      <c r="A170" s="4" t="s">
        <v>191</v>
      </c>
      <c r="B170" s="7">
        <v>50</v>
      </c>
      <c r="C170" s="13">
        <v>6</v>
      </c>
      <c r="D170" s="13">
        <v>6.5</v>
      </c>
      <c r="E170" s="4">
        <f>Tabela20[[#This Row],[Coluna4]]*Tabela20[[#This Row],[Coluna2]]</f>
        <v>325</v>
      </c>
      <c r="F170" s="4">
        <f>Tabela20[[#This Row],[Coluna3]]/$B$157</f>
        <v>1.7964071856287427</v>
      </c>
      <c r="G170" s="4">
        <f>Tabela20[[#This Row],[Coluna6]]*$B$156</f>
        <v>0.22455089820359284</v>
      </c>
      <c r="H170" s="4">
        <f>Tabela20[[#This Row],[Coluna7]]*Tabela20[[#This Row],[Coluna2]]</f>
        <v>11.227544910179642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x14ac:dyDescent="0.2">
      <c r="A171" s="4" t="s">
        <v>192</v>
      </c>
      <c r="B171" s="7">
        <v>100</v>
      </c>
      <c r="C171" s="13">
        <v>3.14</v>
      </c>
      <c r="D171" s="13">
        <v>4</v>
      </c>
      <c r="E171" s="4">
        <f>Tabela20[[#This Row],[Coluna4]]*Tabela20[[#This Row],[Coluna2]]</f>
        <v>400</v>
      </c>
      <c r="F171" s="4">
        <f>Tabela20[[#This Row],[Coluna3]]/$B$157</f>
        <v>0.940119760479042</v>
      </c>
      <c r="G171" s="4">
        <f>Tabela20[[#This Row],[Coluna6]]*$B$156</f>
        <v>0.11751497005988025</v>
      </c>
      <c r="H171" s="4">
        <f>Tabela20[[#This Row],[Coluna7]]*Tabela20[[#This Row],[Coluna2]]</f>
        <v>11.751497005988025</v>
      </c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x14ac:dyDescent="0.2">
      <c r="A172" s="4" t="s">
        <v>193</v>
      </c>
      <c r="B172" s="7">
        <v>100</v>
      </c>
      <c r="C172" s="13">
        <v>5.68</v>
      </c>
      <c r="D172" s="13">
        <v>6</v>
      </c>
      <c r="E172" s="4">
        <f>Tabela20[[#This Row],[Coluna4]]*Tabela20[[#This Row],[Coluna2]]</f>
        <v>600</v>
      </c>
      <c r="F172" s="4">
        <f>Tabela20[[#This Row],[Coluna3]]/$B$157</f>
        <v>1.7005988023952097</v>
      </c>
      <c r="G172" s="4">
        <f>Tabela20[[#This Row],[Coluna6]]*$B$156</f>
        <v>0.21257485029940121</v>
      </c>
      <c r="H172" s="4">
        <f>Tabela20[[#This Row],[Coluna7]]*Tabela20[[#This Row],[Coluna2]]</f>
        <v>21.257485029940121</v>
      </c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x14ac:dyDescent="0.2">
      <c r="A173" s="4" t="s">
        <v>194</v>
      </c>
      <c r="B173" s="40">
        <f>SUM(B162:B172)</f>
        <v>4450</v>
      </c>
      <c r="C173" s="40">
        <f t="shared" ref="C173:H173" si="15">SUM(C162:C172)</f>
        <v>26.79</v>
      </c>
      <c r="D173" s="40">
        <f t="shared" si="15"/>
        <v>30</v>
      </c>
      <c r="E173" s="40">
        <f t="shared" si="15"/>
        <v>5365</v>
      </c>
      <c r="F173" s="40">
        <f t="shared" si="15"/>
        <v>8.0209580838323351</v>
      </c>
      <c r="G173" s="40">
        <f t="shared" si="15"/>
        <v>1.0026197604790419</v>
      </c>
      <c r="H173" s="40">
        <f t="shared" si="15"/>
        <v>173.87724550898201</v>
      </c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mergeCells count="7">
    <mergeCell ref="C160:E160"/>
    <mergeCell ref="F160:H160"/>
    <mergeCell ref="D27:E27"/>
    <mergeCell ref="B46:F47"/>
    <mergeCell ref="A62:E62"/>
    <mergeCell ref="A75:F78"/>
    <mergeCell ref="A93:F93"/>
  </mergeCells>
  <dataValidations count="1">
    <dataValidation type="list" allowBlank="1" showInputMessage="1" showErrorMessage="1" sqref="B146" xr:uid="{A231A3AB-4692-477C-B49E-DF61EC69BFEE}">
      <formula1>$A$128:$A$142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4F679-D98F-4E0D-9BE0-0C097E98649F}">
  <sheetPr codeName="Planilha2">
    <tabColor rgb="FF92D050"/>
  </sheetPr>
  <dimension ref="A1:C13"/>
  <sheetViews>
    <sheetView workbookViewId="0">
      <selection activeCell="F4" sqref="F4"/>
    </sheetView>
  </sheetViews>
  <sheetFormatPr defaultRowHeight="14.25" x14ac:dyDescent="0.2"/>
  <cols>
    <col min="1" max="16384" width="9" style="1"/>
  </cols>
  <sheetData>
    <row r="1" spans="1:3" x14ac:dyDescent="0.2">
      <c r="A1" s="1" t="s">
        <v>199</v>
      </c>
    </row>
    <row r="2" spans="1:3" x14ac:dyDescent="0.2">
      <c r="A2" s="1">
        <v>9</v>
      </c>
    </row>
    <row r="3" spans="1:3" x14ac:dyDescent="0.2">
      <c r="A3" s="1" t="s">
        <v>200</v>
      </c>
      <c r="C3" s="1" t="s">
        <v>201</v>
      </c>
    </row>
    <row r="4" spans="1:3" x14ac:dyDescent="0.2">
      <c r="A4" s="1">
        <v>1</v>
      </c>
      <c r="C4" s="49">
        <f t="shared" ref="C4:C13" si="0">A4*$A$2</f>
        <v>9</v>
      </c>
    </row>
    <row r="5" spans="1:3" x14ac:dyDescent="0.2">
      <c r="A5" s="1">
        <v>2</v>
      </c>
      <c r="C5" s="49">
        <f t="shared" si="0"/>
        <v>18</v>
      </c>
    </row>
    <row r="6" spans="1:3" x14ac:dyDescent="0.2">
      <c r="A6" s="1">
        <v>3</v>
      </c>
      <c r="C6" s="49">
        <f t="shared" si="0"/>
        <v>27</v>
      </c>
    </row>
    <row r="7" spans="1:3" x14ac:dyDescent="0.2">
      <c r="A7" s="1">
        <v>4</v>
      </c>
      <c r="C7" s="49">
        <f t="shared" si="0"/>
        <v>36</v>
      </c>
    </row>
    <row r="8" spans="1:3" x14ac:dyDescent="0.2">
      <c r="A8" s="1">
        <v>5</v>
      </c>
      <c r="C8" s="49">
        <f t="shared" si="0"/>
        <v>45</v>
      </c>
    </row>
    <row r="9" spans="1:3" x14ac:dyDescent="0.2">
      <c r="A9" s="1">
        <v>6</v>
      </c>
      <c r="C9" s="49">
        <f t="shared" si="0"/>
        <v>54</v>
      </c>
    </row>
    <row r="10" spans="1:3" x14ac:dyDescent="0.2">
      <c r="A10" s="1">
        <v>7</v>
      </c>
      <c r="C10" s="49">
        <f t="shared" si="0"/>
        <v>63</v>
      </c>
    </row>
    <row r="11" spans="1:3" x14ac:dyDescent="0.2">
      <c r="A11" s="1">
        <v>8</v>
      </c>
      <c r="C11" s="49">
        <f t="shared" si="0"/>
        <v>72</v>
      </c>
    </row>
    <row r="12" spans="1:3" x14ac:dyDescent="0.2">
      <c r="A12" s="1">
        <v>9</v>
      </c>
      <c r="C12" s="49">
        <f t="shared" si="0"/>
        <v>81</v>
      </c>
    </row>
    <row r="13" spans="1:3" x14ac:dyDescent="0.2">
      <c r="A13" s="1">
        <v>10</v>
      </c>
      <c r="C13" s="49">
        <f t="shared" si="0"/>
        <v>90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57D31-27CC-4BC3-AE56-1563BE90DD2A}">
  <sheetPr codeName="Planilha3"/>
  <dimension ref="F11:H14"/>
  <sheetViews>
    <sheetView showGridLines="0" tabSelected="1" workbookViewId="0">
      <selection activeCell="G13" sqref="G13"/>
    </sheetView>
  </sheetViews>
  <sheetFormatPr defaultRowHeight="14.25" x14ac:dyDescent="0.2"/>
  <sheetData>
    <row r="11" spans="6:8" ht="15" thickBot="1" x14ac:dyDescent="0.25"/>
    <row r="12" spans="6:8" ht="50.1" customHeight="1" x14ac:dyDescent="0.2">
      <c r="F12" s="51"/>
      <c r="G12" s="52"/>
      <c r="H12" s="53"/>
    </row>
    <row r="13" spans="6:8" ht="50.1" customHeight="1" x14ac:dyDescent="0.2">
      <c r="F13" s="54"/>
      <c r="G13" s="50"/>
      <c r="H13" s="55"/>
    </row>
    <row r="14" spans="6:8" ht="50.1" customHeight="1" thickBot="1" x14ac:dyDescent="0.25">
      <c r="F14" s="56"/>
      <c r="G14" s="57"/>
      <c r="H14" s="58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Exercicios</vt:lpstr>
      <vt:lpstr>Análise Dados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Moura</dc:creator>
  <cp:lastModifiedBy>Aluno DEV Tarde</cp:lastModifiedBy>
  <dcterms:created xsi:type="dcterms:W3CDTF">2023-06-01T01:24:34Z</dcterms:created>
  <dcterms:modified xsi:type="dcterms:W3CDTF">2023-06-01T18:24:47Z</dcterms:modified>
</cp:coreProperties>
</file>